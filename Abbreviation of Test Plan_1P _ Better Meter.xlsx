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olarisgrid-my.sharepoint.com/personal/gajendra_polarisgrids_com/Documents/Hardware Validation/Organization Documents/Test Plan/1P Meter/"/>
    </mc:Choice>
  </mc:AlternateContent>
  <xr:revisionPtr revIDLastSave="0" documentId="8_{F272AC13-2D61-4222-A73C-51B0DE668837}" xr6:coauthVersionLast="47" xr6:coauthVersionMax="47" xr10:uidLastSave="{00000000-0000-0000-0000-000000000000}"/>
  <bookViews>
    <workbookView xWindow="-108" yWindow="-108" windowWidth="23256" windowHeight="13896" firstSheet="4" activeTab="2" xr2:uid="{00000000-000D-0000-FFFF-FFFF00000000}"/>
  </bookViews>
  <sheets>
    <sheet name="Priority Test" sheetId="3" state="hidden" r:id="rId1"/>
    <sheet name="Abbreviation of Test Plan_HW" sheetId="1" r:id="rId2"/>
    <sheet name="Abbreviation of Test Plan_FW" sheetId="4" r:id="rId3"/>
    <sheet name="Abbreviation of TP_Module HW" sheetId="5" r:id="rId4"/>
    <sheet name="Abbreviation of TP_CommsTestin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4" l="1"/>
  <c r="A10" i="3"/>
  <c r="A11" i="3"/>
  <c r="A12" i="3"/>
  <c r="A13" i="3"/>
  <c r="A14" i="3"/>
  <c r="Y84" i="1"/>
  <c r="X84" i="1"/>
  <c r="A3" i="3"/>
  <c r="A4" i="3" s="1"/>
  <c r="A5" i="3" s="1"/>
  <c r="A6" i="3" s="1"/>
  <c r="A7" i="3" s="1"/>
  <c r="A8" i="3" s="1"/>
  <c r="A9" i="3" s="1"/>
  <c r="A80" i="1"/>
  <c r="A81" i="1" s="1"/>
  <c r="A82" i="1" s="1"/>
  <c r="A83" i="1" s="1"/>
  <c r="A73" i="1"/>
  <c r="A74" i="1" s="1"/>
  <c r="A75" i="1" s="1"/>
  <c r="A76" i="1" s="1"/>
  <c r="A77" i="1" s="1"/>
  <c r="A67" i="1"/>
  <c r="A68" i="1" s="1"/>
  <c r="A69" i="1" s="1"/>
  <c r="A70" i="1" s="1"/>
  <c r="A63" i="1"/>
  <c r="A64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24" i="1"/>
  <c r="A25" i="1" s="1"/>
  <c r="A26" i="1" s="1"/>
  <c r="A2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60" i="1" l="1"/>
</calcChain>
</file>

<file path=xl/sharedStrings.xml><?xml version="1.0" encoding="utf-8"?>
<sst xmlns="http://schemas.openxmlformats.org/spreadsheetml/2006/main" count="539" uniqueCount="443">
  <si>
    <t>S. No</t>
  </si>
  <si>
    <t>Name of Test</t>
  </si>
  <si>
    <t>Requirement</t>
  </si>
  <si>
    <t>Sample Requirement</t>
  </si>
  <si>
    <t>Mandays</t>
  </si>
  <si>
    <t>Spark</t>
  </si>
  <si>
    <t>Test the meter for 4 days</t>
  </si>
  <si>
    <t>Jammer</t>
  </si>
  <si>
    <t>Magnet</t>
  </si>
  <si>
    <t>NM</t>
  </si>
  <si>
    <t>ND</t>
  </si>
  <si>
    <t>Surge</t>
  </si>
  <si>
    <t>Impulse</t>
  </si>
  <si>
    <t>Battery Consumption</t>
  </si>
  <si>
    <t>RE</t>
  </si>
  <si>
    <t>CE</t>
  </si>
  <si>
    <t>RS</t>
  </si>
  <si>
    <t>ESD</t>
  </si>
  <si>
    <t>EFT</t>
  </si>
  <si>
    <t>CS</t>
  </si>
  <si>
    <t>Name of Project</t>
  </si>
  <si>
    <t>Test Level</t>
  </si>
  <si>
    <t>Hardware Validation Test Summary</t>
  </si>
  <si>
    <t>S. No.</t>
  </si>
  <si>
    <t>Group of Test</t>
  </si>
  <si>
    <t>1. Critical
2. Hard to pass
3. Others</t>
  </si>
  <si>
    <t>Required</t>
  </si>
  <si>
    <t>Metering Mode</t>
  </si>
  <si>
    <t>Current Direction</t>
  </si>
  <si>
    <t>Measurement Element</t>
  </si>
  <si>
    <t>Payment Mode</t>
  </si>
  <si>
    <t>kVAh Calculation</t>
  </si>
  <si>
    <t>Optical Communication</t>
  </si>
  <si>
    <t>Remote Comm.</t>
  </si>
  <si>
    <t>Comm. Technology</t>
  </si>
  <si>
    <t>Man Days Required for the test</t>
  </si>
  <si>
    <t>Final Man Days</t>
  </si>
  <si>
    <t>Easy to Pass</t>
  </si>
  <si>
    <t>Hard to Pass</t>
  </si>
  <si>
    <t>Trouble sum Test</t>
  </si>
  <si>
    <t>Not Required</t>
  </si>
  <si>
    <t>Import Only</t>
  </si>
  <si>
    <t>Import- Export</t>
  </si>
  <si>
    <t>Forward</t>
  </si>
  <si>
    <t>Reverse</t>
  </si>
  <si>
    <t>Phase Only</t>
  </si>
  <si>
    <t>Neutral Only</t>
  </si>
  <si>
    <t>Combined Element</t>
  </si>
  <si>
    <t>Prepaid and Zero bal. when BL Blinking</t>
  </si>
  <si>
    <t>Prepaid balance is above 500 INR and BL not blinking</t>
  </si>
  <si>
    <t>Lag Only</t>
  </si>
  <si>
    <t>Lag+ Lead</t>
  </si>
  <si>
    <t>When Contineously ON</t>
  </si>
  <si>
    <t>When idle mode</t>
  </si>
  <si>
    <t>NAN</t>
  </si>
  <si>
    <t>WAN</t>
  </si>
  <si>
    <t>IMG</t>
  </si>
  <si>
    <t>A</t>
  </si>
  <si>
    <t>Metrology and Electrical Requirement</t>
  </si>
  <si>
    <t>Limits of Error (150% Imax to 1% Ib)</t>
  </si>
  <si>
    <t>Starting Current</t>
  </si>
  <si>
    <t>No-Load</t>
  </si>
  <si>
    <t>Voltage Variation</t>
  </si>
  <si>
    <t>Frequency Variation</t>
  </si>
  <si>
    <t>3rd Harmonics</t>
  </si>
  <si>
    <t>5th Harmonics</t>
  </si>
  <si>
    <t>Repeatability of Error</t>
  </si>
  <si>
    <t>Dial Test</t>
  </si>
  <si>
    <t>Constant Test</t>
  </si>
  <si>
    <t>Dial test With MD</t>
  </si>
  <si>
    <t>Power Consumption</t>
  </si>
  <si>
    <t>Self Heating test</t>
  </si>
  <si>
    <t>Voltage Dips and Interupption</t>
  </si>
  <si>
    <t>DC Immunity Test</t>
  </si>
  <si>
    <t>Operation of accessories</t>
  </si>
  <si>
    <t>B</t>
  </si>
  <si>
    <t>Magnet Test</t>
  </si>
  <si>
    <t>0.5T Permanent Magnet</t>
  </si>
  <si>
    <t>10mT±5% AC Magnet</t>
  </si>
  <si>
    <t>0.27T±5% DC MAgnet</t>
  </si>
  <si>
    <t>0.2T±5% DC   Magnet</t>
  </si>
  <si>
    <t>67mT±5% DC Magnet</t>
  </si>
  <si>
    <t>C</t>
  </si>
  <si>
    <t>Non Standard Tests</t>
  </si>
  <si>
    <t>35kv Test</t>
  </si>
  <si>
    <t>Jammer Test</t>
  </si>
  <si>
    <t>650V Test for 6 Hrs</t>
  </si>
  <si>
    <t>150% Imax for 6 Hrs</t>
  </si>
  <si>
    <t>Drop Test</t>
  </si>
  <si>
    <t>Free Fall Test</t>
  </si>
  <si>
    <t>Rolling Test</t>
  </si>
  <si>
    <t>Halt Testing</t>
  </si>
  <si>
    <t>Push Button Operation</t>
  </si>
  <si>
    <t>Cable Pull Force</t>
  </si>
  <si>
    <t>SIM Card Operation</t>
  </si>
  <si>
    <t>Modem Plug-in Plug Out Test</t>
  </si>
  <si>
    <t>Display viewing angle test</t>
  </si>
  <si>
    <t>Transport Test</t>
  </si>
  <si>
    <t>Internal Screw Torque and tightness test</t>
  </si>
  <si>
    <t>Connection screw torque and tightness test</t>
  </si>
  <si>
    <t>Waltky-Talky test</t>
  </si>
  <si>
    <t>Mobile Influence test</t>
  </si>
  <si>
    <t>LCD temperature test</t>
  </si>
  <si>
    <t>Meter Display validation – Legibility and Readability</t>
  </si>
  <si>
    <t>Par Lamp Test with resistive load bulb</t>
  </si>
  <si>
    <t>Light intensity test</t>
  </si>
  <si>
    <t>Audible Noise Test</t>
  </si>
  <si>
    <t>Graceful failure test</t>
  </si>
  <si>
    <t>RF Range Test</t>
  </si>
  <si>
    <t>Faraday Cage Test</t>
  </si>
  <si>
    <t>Tamper Through Terminal using 0.3 mm Wire</t>
  </si>
  <si>
    <t>Intrruption test with timer</t>
  </si>
  <si>
    <t>Salt Spray Test</t>
  </si>
  <si>
    <t>Thermal Cycle Test</t>
  </si>
  <si>
    <t>Test of UV Effect</t>
  </si>
  <si>
    <t>Battery Consumption Test</t>
  </si>
  <si>
    <t>D</t>
  </si>
  <si>
    <t>Insulation Test</t>
  </si>
  <si>
    <t>High Voltage Test</t>
  </si>
  <si>
    <t>Insulation Resistance</t>
  </si>
  <si>
    <t>Impulse Voltage Test</t>
  </si>
  <si>
    <t>E</t>
  </si>
  <si>
    <t>Climatic Related Test</t>
  </si>
  <si>
    <t>Influence of Heating</t>
  </si>
  <si>
    <t>Influence of ambient Temperature (Temco)</t>
  </si>
  <si>
    <t>Dry Heat Test</t>
  </si>
  <si>
    <t>Cold Test</t>
  </si>
  <si>
    <t>Damp Heat Test</t>
  </si>
  <si>
    <t>F</t>
  </si>
  <si>
    <t>EMI/EMC Test</t>
  </si>
  <si>
    <t>Radiated Emission Test</t>
  </si>
  <si>
    <t>Conducted Emission Test</t>
  </si>
  <si>
    <t>Fast Transient Burst Test</t>
  </si>
  <si>
    <t>ESD Test</t>
  </si>
  <si>
    <t>RS Test</t>
  </si>
  <si>
    <t>Surge Immunity Test</t>
  </si>
  <si>
    <t>G</t>
  </si>
  <si>
    <t>Mechanical Tests</t>
  </si>
  <si>
    <t>Vibration Test</t>
  </si>
  <si>
    <t>Shock Test</t>
  </si>
  <si>
    <t>Spring Hammer Test</t>
  </si>
  <si>
    <t>IP Test</t>
  </si>
  <si>
    <t>Glow Wire</t>
  </si>
  <si>
    <t>Minimum reqired working days for Hardware</t>
  </si>
  <si>
    <t>25 Days</t>
  </si>
  <si>
    <t xml:space="preserve">Minimum reqired working days for Comms Testing </t>
  </si>
  <si>
    <t>10 Days</t>
  </si>
  <si>
    <t xml:space="preserve">Minimum reqired working days for Firmware Testing </t>
  </si>
  <si>
    <t>13 Days</t>
  </si>
  <si>
    <t xml:space="preserve">Project testing Start Date </t>
  </si>
  <si>
    <t xml:space="preserve">Project Expected testing End Date </t>
  </si>
  <si>
    <t>SN</t>
  </si>
  <si>
    <t>Time Estimate in day</t>
  </si>
  <si>
    <t>Default Paramter After Factory Reset</t>
  </si>
  <si>
    <t xml:space="preserve">Optical Communication For All Association(DLMS) </t>
  </si>
  <si>
    <t>Battery Consumption + Self Diagnostic</t>
  </si>
  <si>
    <t xml:space="preserve">Production Tool </t>
  </si>
  <si>
    <t>Instantaneous + Energy increment (In Lag only &amp; Lag + Lead)</t>
  </si>
  <si>
    <t>NIC Removal &amp; NIC swapping</t>
  </si>
  <si>
    <t>Battery mode communication (5 times) compare data with power on - All parameter reading</t>
  </si>
  <si>
    <t>Bitmask for load survey (TAP-via Pubsub) RF</t>
  </si>
  <si>
    <t>Chattering</t>
  </si>
  <si>
    <t>Power cycle Push 10 times on HES(WAN &amp; NAN)</t>
  </si>
  <si>
    <t>Rollover For All Profile</t>
  </si>
  <si>
    <t xml:space="preserve"> All Profile (compartment size)</t>
  </si>
  <si>
    <t>Billing, TOD and MD (In Lag only &amp; Lag + Lead)</t>
  </si>
  <si>
    <t>Start up Voltage Test (WAN &amp; NAN)</t>
  </si>
  <si>
    <t>NM Enable (From DLMS &amp; TAP)</t>
  </si>
  <si>
    <t>Name plate</t>
  </si>
  <si>
    <t>4G Fallback 2G</t>
  </si>
  <si>
    <t>Transaction (GPRS)</t>
  </si>
  <si>
    <t>Internal version (HES, DLMS)</t>
  </si>
  <si>
    <t>Time set w/o Log (HES , DLMS)</t>
  </si>
  <si>
    <t>Relase Note  ( validation )</t>
  </si>
  <si>
    <t>Display</t>
  </si>
  <si>
    <t xml:space="preserve">Tamper + Actual tamper </t>
  </si>
  <si>
    <t>Load limit</t>
  </si>
  <si>
    <t>Block load , Daily load (In Lag only &amp; Lag + Lead)</t>
  </si>
  <si>
    <t>Periodic Push / Event Push(DLMS)</t>
  </si>
  <si>
    <t>Read all profile from long Run using HES &amp; Gurux</t>
  </si>
  <si>
    <t xml:space="preserve">Firmware Upgrade </t>
  </si>
  <si>
    <t>Tap Commands via HES</t>
  </si>
  <si>
    <t>RTC Effect</t>
  </si>
  <si>
    <t xml:space="preserve">Module LED </t>
  </si>
  <si>
    <t>Local Relay Connection (LRC)</t>
  </si>
  <si>
    <t>TOD Push via HES</t>
  </si>
  <si>
    <t>RTC Logic(Interruption)</t>
  </si>
  <si>
    <t>AC Chopping, DC Chopping/Injection</t>
  </si>
  <si>
    <t>Old BUG verification</t>
  </si>
  <si>
    <t>Interruption Test</t>
  </si>
  <si>
    <t xml:space="preserve">Smoke Test </t>
  </si>
  <si>
    <t>Total Days</t>
  </si>
  <si>
    <t xml:space="preserve">4G Module H/W Testing Timing </t>
  </si>
  <si>
    <t>Test Case ID</t>
  </si>
  <si>
    <t>Test Name</t>
  </si>
  <si>
    <t>Test Time</t>
  </si>
  <si>
    <t>TC-01</t>
  </si>
  <si>
    <t>Signal Strength Test</t>
  </si>
  <si>
    <t>15–20 min</t>
  </si>
  <si>
    <t>TC-02</t>
  </si>
  <si>
    <t>Network Registration Test</t>
  </si>
  <si>
    <t>5 min</t>
  </si>
  <si>
    <t>TC-03</t>
  </si>
  <si>
    <t>Data Communication Test</t>
  </si>
  <si>
    <t>20–30 min</t>
  </si>
  <si>
    <t>TC-04</t>
  </si>
  <si>
    <t xml:space="preserve">Voltage Ckt- Power Consumption Test  (Just ON Case) </t>
  </si>
  <si>
    <t>10–15 min</t>
  </si>
  <si>
    <t>TC-05</t>
  </si>
  <si>
    <t xml:space="preserve">Voltage Ckt- Power Consumption Test  (Just OFF Case) </t>
  </si>
  <si>
    <t>TC-06</t>
  </si>
  <si>
    <t>Voltage Ckt- Power Consumption Test (Network Latchup)</t>
  </si>
  <si>
    <t>TC-07</t>
  </si>
  <si>
    <t>Voltage Ckt- Power Consumption Test ( Low Network )</t>
  </si>
  <si>
    <t>TC-08</t>
  </si>
  <si>
    <t>Voltage Ckt- Power Consumption Test ( Continuous communication)</t>
  </si>
  <si>
    <t>TC-09</t>
  </si>
  <si>
    <t>Voltage Ckt- Power Consumption Test ( faraday Case )</t>
  </si>
  <si>
    <t>TC-10</t>
  </si>
  <si>
    <t>Multiple Device Interference</t>
  </si>
  <si>
    <t>TC-11</t>
  </si>
  <si>
    <t>RF Jammer Test</t>
  </si>
  <si>
    <t>TC-12</t>
  </si>
  <si>
    <t>Radiated Spark Test</t>
  </si>
  <si>
    <t>TC-13</t>
  </si>
  <si>
    <t>Radiated &amp; Conducted Spark Test (35kV)</t>
  </si>
  <si>
    <t>TC-14</t>
  </si>
  <si>
    <t>Cold Test (-40°C)</t>
  </si>
  <si>
    <t>45–75 min</t>
  </si>
  <si>
    <t>TC-15</t>
  </si>
  <si>
    <t>Dry Heat Test (70°C)</t>
  </si>
  <si>
    <t>TC-16</t>
  </si>
  <si>
    <t>Damp Heat Cycle Test</t>
  </si>
  <si>
    <t>75–90 min</t>
  </si>
  <si>
    <t>TC-17</t>
  </si>
  <si>
    <t>85°C / 85% RH Test</t>
  </si>
  <si>
    <t>TC-18</t>
  </si>
  <si>
    <t>Chattering Test</t>
  </si>
  <si>
    <t>TC-19</t>
  </si>
  <si>
    <t>Power ON/OFF Test</t>
  </si>
  <si>
    <t>TC-20</t>
  </si>
  <si>
    <t>Vibration Test (2G/3G)</t>
  </si>
  <si>
    <t>25–35 min</t>
  </si>
  <si>
    <t>TC-21</t>
  </si>
  <si>
    <t>Shock Test (40G)</t>
  </si>
  <si>
    <t>TC-22</t>
  </si>
  <si>
    <t>TC-23</t>
  </si>
  <si>
    <t>Conducted Emission (CE) Test</t>
  </si>
  <si>
    <t>TC-24</t>
  </si>
  <si>
    <t>Radiated Emission (RE) Test</t>
  </si>
  <si>
    <t>TC-25</t>
  </si>
  <si>
    <t>Radiated Immunity (RS) Test</t>
  </si>
  <si>
    <t>TC-26</t>
  </si>
  <si>
    <t>EFT Test</t>
  </si>
  <si>
    <t>TC-27</t>
  </si>
  <si>
    <t>TC-28</t>
  </si>
  <si>
    <t>Surge Test</t>
  </si>
  <si>
    <t>TC-29</t>
  </si>
  <si>
    <t>Latency Test</t>
  </si>
  <si>
    <t>TC-30</t>
  </si>
  <si>
    <t>Packet Loss Test</t>
  </si>
  <si>
    <t>TC-31</t>
  </si>
  <si>
    <t>Field Range Test</t>
  </si>
  <si>
    <t>30–45 min</t>
  </si>
  <si>
    <t>TC-32</t>
  </si>
  <si>
    <t>Antenna Performance Test</t>
  </si>
  <si>
    <t>TC-33</t>
  </si>
  <si>
    <t>SIM Functionality Test</t>
  </si>
  <si>
    <t>TC-34</t>
  </si>
  <si>
    <t>Network Handover Test</t>
  </si>
  <si>
    <t>TC-35</t>
  </si>
  <si>
    <t>Reconnection Test</t>
  </si>
  <si>
    <t>TC-36</t>
  </si>
  <si>
    <t>Long Duration Stability Test</t>
  </si>
  <si>
    <t>48–72 hrs</t>
  </si>
  <si>
    <t>TC-37</t>
  </si>
  <si>
    <t>Throughput Test</t>
  </si>
  <si>
    <t>TC-38</t>
  </si>
  <si>
    <t>DNS Resolution Test</t>
  </si>
  <si>
    <t>TC-39</t>
  </si>
  <si>
    <t>TCP Port Test</t>
  </si>
  <si>
    <t>TC-40</t>
  </si>
  <si>
    <t>APN Configuration Test</t>
  </si>
  <si>
    <t>TC-41</t>
  </si>
  <si>
    <t>SIM Swap Test</t>
  </si>
  <si>
    <t>TC-42</t>
  </si>
  <si>
    <t>Cold Start Test</t>
  </si>
  <si>
    <t>TC-43</t>
  </si>
  <si>
    <t>Signal Recovery Test</t>
  </si>
  <si>
    <t>TC-44</t>
  </si>
  <si>
    <t>Server Failover Test</t>
  </si>
  <si>
    <t>TC-45</t>
  </si>
  <si>
    <t>Data Integrity Test</t>
  </si>
  <si>
    <t>TC-46</t>
  </si>
  <si>
    <t>Security Test</t>
  </si>
  <si>
    <t>TC-47</t>
  </si>
  <si>
    <t>Time Sync Test</t>
  </si>
  <si>
    <t>TC-48</t>
  </si>
  <si>
    <t>Jitter Test</t>
  </si>
  <si>
    <t>TC-49</t>
  </si>
  <si>
    <t>Socket Stability Test</t>
  </si>
  <si>
    <t>TC-50</t>
  </si>
  <si>
    <t>Data Retry Test</t>
  </si>
  <si>
    <t>TC-51</t>
  </si>
  <si>
    <t>Buffer Overflow Test</t>
  </si>
  <si>
    <t>TC-52</t>
  </si>
  <si>
    <t>Memory Leak Test</t>
  </si>
  <si>
    <t>3–5 hrs</t>
  </si>
  <si>
    <t>TC-53</t>
  </si>
  <si>
    <t>CPU Load Test</t>
  </si>
  <si>
    <t>TC-54</t>
  </si>
  <si>
    <t>Power Failure Test</t>
  </si>
  <si>
    <t>TC-55</t>
  </si>
  <si>
    <t>RTC Backup Test</t>
  </si>
  <si>
    <t>TC-56</t>
  </si>
  <si>
    <t>Event Logging Test</t>
  </si>
  <si>
    <t>TC-57</t>
  </si>
  <si>
    <t>Watchdog Test</t>
  </si>
  <si>
    <t>TC-58</t>
  </si>
  <si>
    <t>Roaming Test</t>
  </si>
  <si>
    <t>TC-59</t>
  </si>
  <si>
    <t>Earth Fault Test</t>
  </si>
  <si>
    <t>TC-60</t>
  </si>
  <si>
    <t>Accessories Operation Test</t>
  </si>
  <si>
    <t>TC-61</t>
  </si>
  <si>
    <t>Temco Test</t>
  </si>
  <si>
    <t>TC-62</t>
  </si>
  <si>
    <t>Heating Test</t>
  </si>
  <si>
    <t>TC-63</t>
  </si>
  <si>
    <t>Limits of Error (Balanced)</t>
  </si>
  <si>
    <t>TC-64</t>
  </si>
  <si>
    <t>Limits of Error (Unbalanced)</t>
  </si>
  <si>
    <t>TC-65</t>
  </si>
  <si>
    <t>Initial Start-Up Test</t>
  </si>
  <si>
    <t>TC-66</t>
  </si>
  <si>
    <t>Starting Current Test</t>
  </si>
  <si>
    <t>TC-67</t>
  </si>
  <si>
    <t>Voltage Variation Test</t>
  </si>
  <si>
    <t>TC-68</t>
  </si>
  <si>
    <t>Frequency Variation Test</t>
  </si>
  <si>
    <t>TC-69</t>
  </si>
  <si>
    <t>Harmonics Test</t>
  </si>
  <si>
    <t>TC-70</t>
  </si>
  <si>
    <t>Reverse Phase Sequence Test</t>
  </si>
  <si>
    <t>TC-71</t>
  </si>
  <si>
    <t>Voltage Unbalance Test</t>
  </si>
  <si>
    <t>TC-72</t>
  </si>
  <si>
    <t>AC Magnet Test</t>
  </si>
  <si>
    <t>TC-73</t>
  </si>
  <si>
    <t>DC Magnet Test</t>
  </si>
  <si>
    <t>TC-74</t>
  </si>
  <si>
    <t>Conductive Spark Test</t>
  </si>
  <si>
    <t>TC-75</t>
  </si>
  <si>
    <t>Module Plug In/Out Test</t>
  </si>
  <si>
    <t>TC-76</t>
  </si>
  <si>
    <t>SIM In/Out Test</t>
  </si>
  <si>
    <t>TC-77</t>
  </si>
  <si>
    <t>SIM Deactivation Test</t>
  </si>
  <si>
    <t>TC-78</t>
  </si>
  <si>
    <t>Dual SIM Test</t>
  </si>
  <si>
    <t>TC-79</t>
  </si>
  <si>
    <t>Drop Test (Field)</t>
  </si>
  <si>
    <t>TC-80</t>
  </si>
  <si>
    <t>TC-81</t>
  </si>
  <si>
    <t>Magnet Tamper Test</t>
  </si>
  <si>
    <t>TC-82</t>
  </si>
  <si>
    <t>Relay Test</t>
  </si>
  <si>
    <t>TC-83</t>
  </si>
  <si>
    <t>Continuous Data Test</t>
  </si>
  <si>
    <t>25–30 min</t>
  </si>
  <si>
    <t>TC-84</t>
  </si>
  <si>
    <t>Firmware Update Test</t>
  </si>
  <si>
    <t>TC-85</t>
  </si>
  <si>
    <t>FW Update (Power OFF)</t>
  </si>
  <si>
    <t>TC-86</t>
  </si>
  <si>
    <t>FW Update (Interrupt)</t>
  </si>
  <si>
    <t>TC-87</t>
  </si>
  <si>
    <t>Long Duration Run</t>
  </si>
  <si>
    <t>60–80 hrs</t>
  </si>
  <si>
    <t>TC-88</t>
  </si>
  <si>
    <t>Enclosure Test</t>
  </si>
  <si>
    <t>TC-89</t>
  </si>
  <si>
    <t>Network Switch Test</t>
  </si>
  <si>
    <t>TC-90</t>
  </si>
  <si>
    <t>Weak Signal Test</t>
  </si>
  <si>
    <t>TC-91</t>
  </si>
  <si>
    <t>Long Magnet Test</t>
  </si>
  <si>
    <t>45 min</t>
  </si>
  <si>
    <t>TC-92</t>
  </si>
  <si>
    <t>Flickering Magnet Test</t>
  </si>
  <si>
    <t>TC-93</t>
  </si>
  <si>
    <t>Magnet Enclosure Test</t>
  </si>
  <si>
    <t>TC-94</t>
  </si>
  <si>
    <t>SIM Switch During Comm</t>
  </si>
  <si>
    <t>TC-95</t>
  </si>
  <si>
    <t>Low Voltage Test</t>
  </si>
  <si>
    <t>TC-96</t>
  </si>
  <si>
    <t>RTC Drift Test</t>
  </si>
  <si>
    <t>24–30 hrs</t>
  </si>
  <si>
    <t>TC-97</t>
  </si>
  <si>
    <t>Sunlight Exposure Test</t>
  </si>
  <si>
    <t>TC-98</t>
  </si>
  <si>
    <t>Multi-Network Interference</t>
  </si>
  <si>
    <t>TC-99</t>
  </si>
  <si>
    <t>Invalid Command Spam Test</t>
  </si>
  <si>
    <t>Total Hours</t>
  </si>
  <si>
    <t xml:space="preserve">4G Module F/W Testing Timing </t>
  </si>
  <si>
    <t>Sr. No.</t>
  </si>
  <si>
    <t>Master List / Module Name</t>
  </si>
  <si>
    <t>Master List</t>
  </si>
  <si>
    <t>Provisioning Test</t>
  </si>
  <si>
    <t>PROV_XXX</t>
  </si>
  <si>
    <t>SIM functionality</t>
  </si>
  <si>
    <t>SIM_FN_XXX</t>
  </si>
  <si>
    <t xml:space="preserve">Data Push Test </t>
  </si>
  <si>
    <t>PUSH_XXX</t>
  </si>
  <si>
    <t>Data Pull Test</t>
  </si>
  <si>
    <t>PULL_XXX</t>
  </si>
  <si>
    <t>Meter Profile Read</t>
  </si>
  <si>
    <t>PR_XXX</t>
  </si>
  <si>
    <t>Network Validation</t>
  </si>
  <si>
    <t>NET_VD_XXX</t>
  </si>
  <si>
    <t>Module Swapping</t>
  </si>
  <si>
    <t>MOD_SWP_XXX</t>
  </si>
  <si>
    <t>Firmware Upgrade</t>
  </si>
  <si>
    <t>FW_UPD_XXX</t>
  </si>
  <si>
    <t>Module Stress Test</t>
  </si>
  <si>
    <t>MOD_STR_XXX</t>
  </si>
  <si>
    <t>Power Cycle Test</t>
  </si>
  <si>
    <t>POW_CYC_XXX</t>
  </si>
  <si>
    <t>Resilience Test</t>
  </si>
  <si>
    <t>RESC_XXX</t>
  </si>
  <si>
    <t>CH_XXX</t>
  </si>
  <si>
    <t xml:space="preserve">YAT Test </t>
  </si>
  <si>
    <t>YAT_XXX</t>
  </si>
  <si>
    <t>IMG Reset</t>
  </si>
  <si>
    <t>IMG_RESET_XXX</t>
  </si>
  <si>
    <t>Black Hole</t>
  </si>
  <si>
    <t>IMG_FAIL_XXX</t>
  </si>
  <si>
    <t>RTC sync</t>
  </si>
  <si>
    <t>RTC_SYNC_XXX</t>
  </si>
  <si>
    <t>RSSI</t>
  </si>
  <si>
    <t>IMG_RSSI_XXX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</si>
</sst>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Santoshi Medium"/>
    </font>
    <font>
      <sz val="11"/>
      <color rgb="FF000000"/>
      <name val="Santoshi Medium"/>
    </font>
    <font>
      <b/>
      <sz val="11"/>
      <color rgb="FF000000"/>
      <name val="Santoshi Medium"/>
    </font>
    <font>
      <b/>
      <sz val="14"/>
      <color rgb="FF000000"/>
      <name val="Santoshi Medium"/>
    </font>
    <font>
      <sz val="11"/>
      <name val="Santoshi Medium"/>
    </font>
    <font>
      <b/>
      <sz val="11"/>
      <color theme="1"/>
      <name val="Santoshi Medium"/>
    </font>
    <font>
      <b/>
      <sz val="11"/>
      <name val="Santoshi Medium"/>
    </font>
    <font>
      <b/>
      <sz val="16"/>
      <color theme="1"/>
      <name val="Santoshi Medium"/>
    </font>
    <font>
      <b/>
      <sz val="14"/>
      <color theme="1"/>
      <name val="Santoshi Medium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8" xfId="0" applyFont="1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6" xfId="0" applyFont="1" applyBorder="1"/>
    <xf numFmtId="0" fontId="4" fillId="0" borderId="0" xfId="0" applyFont="1"/>
    <xf numFmtId="0" fontId="5" fillId="0" borderId="0" xfId="0" applyFont="1"/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5" xfId="0" applyFont="1" applyBorder="1"/>
    <xf numFmtId="0" fontId="4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6" fillId="3" borderId="17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8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3" xfId="0" applyFont="1" applyBorder="1" applyAlignment="1"/>
    <xf numFmtId="0" fontId="3" fillId="0" borderId="2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6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0975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5"/>
  <sheetViews>
    <sheetView workbookViewId="0">
      <selection activeCell="C15" sqref="C15"/>
    </sheetView>
  </sheetViews>
  <sheetFormatPr defaultColWidth="14.42578125" defaultRowHeight="15" customHeight="1"/>
  <cols>
    <col min="1" max="1" width="5.7109375" customWidth="1"/>
    <col min="2" max="2" width="27.42578125" customWidth="1"/>
    <col min="3" max="3" width="23.85546875" customWidth="1"/>
    <col min="4" max="4" width="19.42578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>
        <v>1</v>
      </c>
      <c r="B2" s="1" t="s">
        <v>5</v>
      </c>
      <c r="C2" s="1" t="s">
        <v>6</v>
      </c>
      <c r="D2" s="3">
        <v>3</v>
      </c>
      <c r="E2" s="3">
        <v>1</v>
      </c>
    </row>
    <row r="3" spans="1:5">
      <c r="A3" s="1">
        <f t="shared" ref="A3:A14" si="0">A2+1</f>
        <v>2</v>
      </c>
      <c r="B3" s="1" t="s">
        <v>7</v>
      </c>
      <c r="C3" s="1"/>
      <c r="D3" s="3">
        <v>3</v>
      </c>
      <c r="E3" s="3">
        <v>1</v>
      </c>
    </row>
    <row r="4" spans="1:5">
      <c r="A4" s="1">
        <f t="shared" si="0"/>
        <v>3</v>
      </c>
      <c r="B4" s="1" t="s">
        <v>8</v>
      </c>
      <c r="C4" s="1"/>
      <c r="D4" s="3">
        <v>3</v>
      </c>
      <c r="E4" s="3">
        <v>5</v>
      </c>
    </row>
    <row r="5" spans="1:5">
      <c r="A5" s="1">
        <f t="shared" si="0"/>
        <v>4</v>
      </c>
      <c r="B5" s="1" t="s">
        <v>9</v>
      </c>
      <c r="C5" s="1"/>
      <c r="D5" s="5">
        <v>2</v>
      </c>
      <c r="E5" s="3">
        <v>3</v>
      </c>
    </row>
    <row r="6" spans="1:5">
      <c r="A6" s="1">
        <f t="shared" si="0"/>
        <v>5</v>
      </c>
      <c r="B6" s="1" t="s">
        <v>10</v>
      </c>
      <c r="C6" s="1"/>
      <c r="D6" s="5"/>
      <c r="E6" s="3">
        <v>3</v>
      </c>
    </row>
    <row r="7" spans="1:5">
      <c r="A7" s="1">
        <f t="shared" si="0"/>
        <v>6</v>
      </c>
      <c r="B7" s="1" t="s">
        <v>11</v>
      </c>
      <c r="C7" s="1"/>
      <c r="D7" s="3">
        <v>3</v>
      </c>
      <c r="E7" s="3">
        <v>2</v>
      </c>
    </row>
    <row r="8" spans="1:5">
      <c r="A8" s="1">
        <f t="shared" si="0"/>
        <v>7</v>
      </c>
      <c r="B8" s="1" t="s">
        <v>12</v>
      </c>
      <c r="C8" s="1"/>
      <c r="D8" s="3">
        <v>3</v>
      </c>
      <c r="E8" s="3">
        <v>1</v>
      </c>
    </row>
    <row r="9" spans="1:5">
      <c r="A9" s="1">
        <f t="shared" si="0"/>
        <v>8</v>
      </c>
      <c r="B9" s="1" t="s">
        <v>13</v>
      </c>
      <c r="C9" s="1"/>
      <c r="D9" s="3">
        <v>2</v>
      </c>
      <c r="E9" s="3">
        <v>3</v>
      </c>
    </row>
    <row r="10" spans="1:5" ht="15" customHeight="1">
      <c r="A10" s="1">
        <f t="shared" si="0"/>
        <v>9</v>
      </c>
      <c r="B10" s="2" t="s">
        <v>14</v>
      </c>
      <c r="C10" s="2"/>
      <c r="D10" s="6">
        <v>3</v>
      </c>
      <c r="E10" s="3">
        <v>2</v>
      </c>
    </row>
    <row r="11" spans="1:5" ht="15" customHeight="1">
      <c r="A11" s="1">
        <f t="shared" si="0"/>
        <v>10</v>
      </c>
      <c r="B11" s="2" t="s">
        <v>15</v>
      </c>
      <c r="C11" s="2"/>
      <c r="D11" s="7"/>
      <c r="E11" s="3">
        <v>0.5</v>
      </c>
    </row>
    <row r="12" spans="1:5" ht="15" customHeight="1">
      <c r="A12" s="1">
        <f t="shared" si="0"/>
        <v>11</v>
      </c>
      <c r="B12" s="2" t="s">
        <v>16</v>
      </c>
      <c r="C12" s="2"/>
      <c r="D12" s="6">
        <v>3</v>
      </c>
      <c r="E12" s="3">
        <v>3</v>
      </c>
    </row>
    <row r="13" spans="1:5" ht="15" customHeight="1">
      <c r="A13" s="1">
        <f t="shared" si="0"/>
        <v>12</v>
      </c>
      <c r="B13" s="2" t="s">
        <v>17</v>
      </c>
      <c r="C13" s="2"/>
      <c r="D13" s="8"/>
      <c r="E13" s="3">
        <v>1</v>
      </c>
    </row>
    <row r="14" spans="1:5" ht="15" customHeight="1">
      <c r="A14" s="1">
        <f t="shared" si="0"/>
        <v>13</v>
      </c>
      <c r="B14" s="2" t="s">
        <v>18</v>
      </c>
      <c r="C14" s="2"/>
      <c r="D14" s="7"/>
      <c r="E14" s="3">
        <v>1.5</v>
      </c>
    </row>
    <row r="15" spans="1:5" ht="15" customHeight="1">
      <c r="B15" t="s">
        <v>19</v>
      </c>
    </row>
  </sheetData>
  <mergeCells count="3">
    <mergeCell ref="D5:D6"/>
    <mergeCell ref="D10:D11"/>
    <mergeCell ref="D12:D14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56"/>
  <sheetViews>
    <sheetView showGridLines="0" workbookViewId="0">
      <pane xSplit="2" ySplit="4" topLeftCell="C56" activePane="bottomRight" state="frozen"/>
      <selection pane="bottomRight" sqref="A1:XFD1048576"/>
      <selection pane="bottomLeft" activeCell="A5" sqref="A5"/>
      <selection pane="topRight" activeCell="C1" sqref="C1"/>
    </sheetView>
  </sheetViews>
  <sheetFormatPr defaultColWidth="14.42578125" defaultRowHeight="15" customHeight="1"/>
  <cols>
    <col min="1" max="1" width="6.5703125" style="9" customWidth="1"/>
    <col min="2" max="2" width="39.5703125" style="9" customWidth="1"/>
    <col min="3" max="3" width="14.7109375" style="68" customWidth="1"/>
    <col min="4" max="4" width="5.140625" style="9" customWidth="1"/>
    <col min="5" max="5" width="10" style="9" customWidth="1"/>
    <col min="6" max="12" width="8" style="9" customWidth="1"/>
    <col min="13" max="13" width="12" style="9" customWidth="1"/>
    <col min="14" max="14" width="11" style="9" customWidth="1"/>
    <col min="15" max="18" width="8" style="9" customWidth="1"/>
    <col min="19" max="19" width="10.28515625" style="9" customWidth="1"/>
    <col min="20" max="20" width="10.42578125" style="9" customWidth="1"/>
    <col min="21" max="21" width="11.7109375" style="9" customWidth="1"/>
    <col min="22" max="22" width="15.28515625" style="9" customWidth="1"/>
    <col min="23" max="23" width="11.28515625" style="9" customWidth="1"/>
    <col min="24" max="24" width="14.42578125" style="9"/>
    <col min="25" max="27" width="0" style="9" hidden="1" customWidth="1"/>
    <col min="28" max="28" width="19.85546875" style="9" hidden="1" customWidth="1"/>
    <col min="29" max="30" width="0" style="9" hidden="1" customWidth="1"/>
    <col min="31" max="16384" width="14.42578125" style="9"/>
  </cols>
  <sheetData>
    <row r="1" spans="1:28" ht="14.45" customHeight="1">
      <c r="A1" s="30" t="s">
        <v>20</v>
      </c>
      <c r="B1" s="87"/>
      <c r="C1" s="31" t="s">
        <v>21</v>
      </c>
      <c r="D1" s="32" t="s">
        <v>22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8" ht="15" customHeight="1">
      <c r="A2" s="87"/>
      <c r="B2" s="87"/>
      <c r="C2" s="33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8" ht="15" customHeight="1">
      <c r="A3" s="30" t="s">
        <v>23</v>
      </c>
      <c r="B3" s="30" t="s">
        <v>24</v>
      </c>
      <c r="C3" s="34" t="s">
        <v>25</v>
      </c>
      <c r="D3" s="35"/>
      <c r="E3" s="36" t="s">
        <v>26</v>
      </c>
      <c r="F3" s="37" t="s">
        <v>27</v>
      </c>
      <c r="G3" s="87"/>
      <c r="H3" s="37" t="s">
        <v>28</v>
      </c>
      <c r="I3" s="87"/>
      <c r="J3" s="38" t="s">
        <v>29</v>
      </c>
      <c r="K3" s="87"/>
      <c r="L3" s="87"/>
      <c r="M3" s="39" t="s">
        <v>30</v>
      </c>
      <c r="N3" s="87"/>
      <c r="O3" s="39" t="s">
        <v>31</v>
      </c>
      <c r="P3" s="87"/>
      <c r="Q3" s="39" t="s">
        <v>32</v>
      </c>
      <c r="R3" s="87"/>
      <c r="S3" s="39" t="s">
        <v>33</v>
      </c>
      <c r="T3" s="87"/>
      <c r="U3" s="38" t="s">
        <v>34</v>
      </c>
      <c r="V3" s="38"/>
      <c r="W3" s="38"/>
      <c r="X3" s="38" t="s">
        <v>35</v>
      </c>
      <c r="Y3" s="9" t="s">
        <v>36</v>
      </c>
      <c r="Z3" s="9" t="s">
        <v>37</v>
      </c>
      <c r="AA3" s="9" t="s">
        <v>38</v>
      </c>
      <c r="AB3" s="9" t="s">
        <v>39</v>
      </c>
    </row>
    <row r="4" spans="1:28" ht="76.5" customHeight="1">
      <c r="A4" s="87"/>
      <c r="B4" s="87"/>
      <c r="C4" s="40"/>
      <c r="D4" s="41" t="b">
        <v>0</v>
      </c>
      <c r="E4" s="42" t="s">
        <v>40</v>
      </c>
      <c r="F4" s="43" t="s">
        <v>41</v>
      </c>
      <c r="G4" s="43" t="s">
        <v>42</v>
      </c>
      <c r="H4" s="43" t="s">
        <v>43</v>
      </c>
      <c r="I4" s="43" t="s">
        <v>44</v>
      </c>
      <c r="J4" s="43" t="s">
        <v>45</v>
      </c>
      <c r="K4" s="43" t="s">
        <v>46</v>
      </c>
      <c r="L4" s="43" t="s">
        <v>47</v>
      </c>
      <c r="M4" s="42" t="s">
        <v>48</v>
      </c>
      <c r="N4" s="42" t="s">
        <v>49</v>
      </c>
      <c r="O4" s="42" t="s">
        <v>50</v>
      </c>
      <c r="P4" s="42" t="s">
        <v>51</v>
      </c>
      <c r="Q4" s="42" t="s">
        <v>52</v>
      </c>
      <c r="R4" s="42" t="s">
        <v>53</v>
      </c>
      <c r="S4" s="42" t="s">
        <v>52</v>
      </c>
      <c r="T4" s="42" t="s">
        <v>53</v>
      </c>
      <c r="U4" s="36" t="s">
        <v>54</v>
      </c>
      <c r="V4" s="36" t="s">
        <v>55</v>
      </c>
      <c r="W4" s="36" t="s">
        <v>56</v>
      </c>
      <c r="X4" s="38"/>
    </row>
    <row r="5" spans="1:28" ht="15" customHeight="1">
      <c r="A5" s="44" t="s">
        <v>57</v>
      </c>
      <c r="B5" s="45" t="s">
        <v>58</v>
      </c>
      <c r="C5" s="46">
        <v>2</v>
      </c>
      <c r="D5" s="88" t="b">
        <v>0</v>
      </c>
      <c r="E5" s="89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8"/>
      <c r="X5" s="48"/>
    </row>
    <row r="6" spans="1:28" ht="15.75" customHeight="1">
      <c r="A6" s="49">
        <v>1</v>
      </c>
      <c r="B6" s="50" t="s">
        <v>59</v>
      </c>
      <c r="C6" s="46">
        <v>2</v>
      </c>
      <c r="D6" s="90" t="b">
        <v>1</v>
      </c>
      <c r="E6" s="91"/>
      <c r="F6" s="51" t="b">
        <v>1</v>
      </c>
      <c r="G6" s="51" t="b">
        <v>1</v>
      </c>
      <c r="H6" s="51" t="b">
        <v>1</v>
      </c>
      <c r="I6" s="51" t="b">
        <v>1</v>
      </c>
      <c r="J6" s="51" t="b">
        <v>1</v>
      </c>
      <c r="K6" s="51" t="b">
        <v>1</v>
      </c>
      <c r="L6" s="51" t="b">
        <v>1</v>
      </c>
      <c r="M6" s="51" t="b">
        <v>1</v>
      </c>
      <c r="N6" s="51" t="b">
        <v>1</v>
      </c>
      <c r="O6" s="51" t="b">
        <v>1</v>
      </c>
      <c r="P6" s="51" t="b">
        <v>1</v>
      </c>
      <c r="Q6" s="51" t="b">
        <v>1</v>
      </c>
      <c r="R6" s="51" t="b">
        <v>1</v>
      </c>
      <c r="S6" s="51" t="b">
        <v>1</v>
      </c>
      <c r="T6" s="51" t="b">
        <v>1</v>
      </c>
      <c r="U6" s="51" t="b">
        <v>1</v>
      </c>
      <c r="V6" s="51" t="b">
        <v>1</v>
      </c>
      <c r="W6" s="51" t="b">
        <v>1</v>
      </c>
      <c r="X6" s="52">
        <v>9</v>
      </c>
    </row>
    <row r="7" spans="1:28" ht="15.75" customHeight="1">
      <c r="A7" s="49">
        <f t="shared" ref="A7:A21" si="0">A6+1</f>
        <v>2</v>
      </c>
      <c r="B7" s="50" t="s">
        <v>60</v>
      </c>
      <c r="C7" s="46">
        <v>2</v>
      </c>
      <c r="D7" s="90" t="b">
        <v>1</v>
      </c>
      <c r="E7" s="91"/>
      <c r="F7" s="51" t="b">
        <v>1</v>
      </c>
      <c r="G7" s="51" t="b">
        <v>1</v>
      </c>
      <c r="H7" s="51" t="b">
        <v>1</v>
      </c>
      <c r="I7" s="51" t="b">
        <v>1</v>
      </c>
      <c r="J7" s="51" t="b">
        <v>1</v>
      </c>
      <c r="K7" s="51" t="b">
        <v>1</v>
      </c>
      <c r="L7" s="51" t="b">
        <v>1</v>
      </c>
      <c r="M7" s="51" t="b">
        <v>1</v>
      </c>
      <c r="N7" s="51" t="b">
        <v>1</v>
      </c>
      <c r="O7" s="51" t="b">
        <v>1</v>
      </c>
      <c r="P7" s="51" t="b">
        <v>1</v>
      </c>
      <c r="Q7" s="51" t="b">
        <v>1</v>
      </c>
      <c r="R7" s="51" t="b">
        <v>1</v>
      </c>
      <c r="S7" s="51" t="b">
        <v>1</v>
      </c>
      <c r="T7" s="51" t="b">
        <v>1</v>
      </c>
      <c r="U7" s="51" t="b">
        <v>1</v>
      </c>
      <c r="V7" s="51" t="b">
        <v>1</v>
      </c>
      <c r="W7" s="51" t="b">
        <v>1</v>
      </c>
      <c r="X7" s="52"/>
    </row>
    <row r="8" spans="1:28" ht="15.75" customHeight="1">
      <c r="A8" s="49">
        <f t="shared" si="0"/>
        <v>3</v>
      </c>
      <c r="B8" s="50" t="s">
        <v>61</v>
      </c>
      <c r="C8" s="46">
        <v>2</v>
      </c>
      <c r="D8" s="90" t="b">
        <v>1</v>
      </c>
      <c r="E8" s="91"/>
      <c r="F8" s="51" t="b">
        <v>1</v>
      </c>
      <c r="G8" s="51" t="b">
        <v>1</v>
      </c>
      <c r="H8" s="51" t="b">
        <v>1</v>
      </c>
      <c r="I8" s="51" t="b">
        <v>1</v>
      </c>
      <c r="J8" s="51" t="b">
        <v>1</v>
      </c>
      <c r="K8" s="51" t="b">
        <v>1</v>
      </c>
      <c r="L8" s="51" t="b">
        <v>1</v>
      </c>
      <c r="M8" s="51" t="b">
        <v>1</v>
      </c>
      <c r="N8" s="51" t="b">
        <v>1</v>
      </c>
      <c r="O8" s="51" t="b">
        <v>1</v>
      </c>
      <c r="P8" s="51" t="b">
        <v>1</v>
      </c>
      <c r="Q8" s="51" t="b">
        <v>1</v>
      </c>
      <c r="R8" s="51" t="b">
        <v>1</v>
      </c>
      <c r="S8" s="51" t="b">
        <v>1</v>
      </c>
      <c r="T8" s="51" t="b">
        <v>1</v>
      </c>
      <c r="U8" s="51" t="b">
        <v>1</v>
      </c>
      <c r="V8" s="51" t="b">
        <v>1</v>
      </c>
      <c r="W8" s="51" t="b">
        <v>1</v>
      </c>
      <c r="X8" s="52"/>
    </row>
    <row r="9" spans="1:28" ht="15.75" customHeight="1">
      <c r="A9" s="49">
        <f t="shared" si="0"/>
        <v>4</v>
      </c>
      <c r="B9" s="50" t="s">
        <v>62</v>
      </c>
      <c r="C9" s="46">
        <v>2</v>
      </c>
      <c r="D9" s="90" t="b">
        <v>1</v>
      </c>
      <c r="E9" s="91"/>
      <c r="F9" s="51" t="b">
        <v>1</v>
      </c>
      <c r="G9" s="51" t="b">
        <v>1</v>
      </c>
      <c r="H9" s="51" t="b">
        <v>1</v>
      </c>
      <c r="I9" s="51" t="b">
        <v>1</v>
      </c>
      <c r="J9" s="51" t="b">
        <v>1</v>
      </c>
      <c r="K9" s="51" t="b">
        <v>1</v>
      </c>
      <c r="L9" s="51" t="b">
        <v>1</v>
      </c>
      <c r="M9" s="51" t="b">
        <v>1</v>
      </c>
      <c r="N9" s="51" t="b">
        <v>1</v>
      </c>
      <c r="O9" s="51" t="b">
        <v>1</v>
      </c>
      <c r="P9" s="51" t="b">
        <v>1</v>
      </c>
      <c r="Q9" s="51" t="b">
        <v>1</v>
      </c>
      <c r="R9" s="51" t="b">
        <v>1</v>
      </c>
      <c r="S9" s="51" t="b">
        <v>1</v>
      </c>
      <c r="T9" s="51" t="b">
        <v>1</v>
      </c>
      <c r="U9" s="51" t="b">
        <v>1</v>
      </c>
      <c r="V9" s="51" t="b">
        <v>1</v>
      </c>
      <c r="W9" s="51" t="b">
        <v>1</v>
      </c>
      <c r="X9" s="52"/>
    </row>
    <row r="10" spans="1:28" ht="15.75" customHeight="1">
      <c r="A10" s="49">
        <f t="shared" si="0"/>
        <v>5</v>
      </c>
      <c r="B10" s="50" t="s">
        <v>63</v>
      </c>
      <c r="C10" s="46">
        <v>2</v>
      </c>
      <c r="D10" s="90" t="b">
        <v>1</v>
      </c>
      <c r="E10" s="91"/>
      <c r="F10" s="51" t="b">
        <v>1</v>
      </c>
      <c r="G10" s="51" t="b">
        <v>1</v>
      </c>
      <c r="H10" s="51" t="b">
        <v>1</v>
      </c>
      <c r="I10" s="51" t="b">
        <v>1</v>
      </c>
      <c r="J10" s="51" t="b">
        <v>1</v>
      </c>
      <c r="K10" s="51" t="b">
        <v>1</v>
      </c>
      <c r="L10" s="51" t="b">
        <v>1</v>
      </c>
      <c r="M10" s="51" t="b">
        <v>1</v>
      </c>
      <c r="N10" s="51" t="b">
        <v>1</v>
      </c>
      <c r="O10" s="51" t="b">
        <v>1</v>
      </c>
      <c r="P10" s="51" t="b">
        <v>1</v>
      </c>
      <c r="Q10" s="51" t="b">
        <v>1</v>
      </c>
      <c r="R10" s="51" t="b">
        <v>1</v>
      </c>
      <c r="S10" s="51" t="b">
        <v>1</v>
      </c>
      <c r="T10" s="51" t="b">
        <v>1</v>
      </c>
      <c r="U10" s="51" t="b">
        <v>1</v>
      </c>
      <c r="V10" s="51" t="b">
        <v>1</v>
      </c>
      <c r="W10" s="51" t="b">
        <v>1</v>
      </c>
      <c r="X10" s="52"/>
    </row>
    <row r="11" spans="1:28" ht="15.75" customHeight="1">
      <c r="A11" s="49">
        <f t="shared" si="0"/>
        <v>6</v>
      </c>
      <c r="B11" s="50" t="s">
        <v>64</v>
      </c>
      <c r="C11" s="46">
        <v>2</v>
      </c>
      <c r="D11" s="90" t="b">
        <v>1</v>
      </c>
      <c r="E11" s="91"/>
      <c r="F11" s="51" t="b">
        <v>1</v>
      </c>
      <c r="G11" s="51" t="b">
        <v>1</v>
      </c>
      <c r="H11" s="51" t="b">
        <v>1</v>
      </c>
      <c r="I11" s="51" t="b">
        <v>1</v>
      </c>
      <c r="J11" s="51" t="b">
        <v>1</v>
      </c>
      <c r="K11" s="51" t="b">
        <v>1</v>
      </c>
      <c r="L11" s="51" t="b">
        <v>1</v>
      </c>
      <c r="M11" s="51" t="b">
        <v>1</v>
      </c>
      <c r="N11" s="51" t="b">
        <v>1</v>
      </c>
      <c r="O11" s="51" t="b">
        <v>1</v>
      </c>
      <c r="P11" s="51" t="b">
        <v>1</v>
      </c>
      <c r="Q11" s="51" t="b">
        <v>1</v>
      </c>
      <c r="R11" s="51" t="b">
        <v>1</v>
      </c>
      <c r="S11" s="51" t="b">
        <v>1</v>
      </c>
      <c r="T11" s="51" t="b">
        <v>1</v>
      </c>
      <c r="U11" s="51" t="b">
        <v>1</v>
      </c>
      <c r="V11" s="51" t="b">
        <v>1</v>
      </c>
      <c r="W11" s="51" t="b">
        <v>1</v>
      </c>
      <c r="X11" s="52"/>
    </row>
    <row r="12" spans="1:28" ht="16.5">
      <c r="A12" s="49">
        <f t="shared" si="0"/>
        <v>7</v>
      </c>
      <c r="B12" s="50" t="s">
        <v>65</v>
      </c>
      <c r="C12" s="46">
        <v>2</v>
      </c>
      <c r="D12" s="90" t="b">
        <v>1</v>
      </c>
      <c r="E12" s="91"/>
      <c r="F12" s="51" t="b">
        <v>1</v>
      </c>
      <c r="G12" s="51" t="b">
        <v>1</v>
      </c>
      <c r="H12" s="51" t="b">
        <v>1</v>
      </c>
      <c r="I12" s="51" t="b">
        <v>1</v>
      </c>
      <c r="J12" s="51" t="b">
        <v>1</v>
      </c>
      <c r="K12" s="51" t="b">
        <v>1</v>
      </c>
      <c r="L12" s="51" t="b">
        <v>1</v>
      </c>
      <c r="M12" s="51" t="b">
        <v>1</v>
      </c>
      <c r="N12" s="51" t="b">
        <v>1</v>
      </c>
      <c r="O12" s="51" t="b">
        <v>1</v>
      </c>
      <c r="P12" s="51" t="b">
        <v>1</v>
      </c>
      <c r="Q12" s="51" t="b">
        <v>1</v>
      </c>
      <c r="R12" s="51" t="b">
        <v>1</v>
      </c>
      <c r="S12" s="51" t="b">
        <v>1</v>
      </c>
      <c r="T12" s="51" t="b">
        <v>1</v>
      </c>
      <c r="U12" s="51" t="b">
        <v>1</v>
      </c>
      <c r="V12" s="51" t="b">
        <v>1</v>
      </c>
      <c r="W12" s="51" t="b">
        <v>1</v>
      </c>
      <c r="X12" s="52"/>
    </row>
    <row r="13" spans="1:28" ht="16.5">
      <c r="A13" s="49">
        <f t="shared" si="0"/>
        <v>8</v>
      </c>
      <c r="B13" s="50" t="s">
        <v>66</v>
      </c>
      <c r="C13" s="46">
        <v>2</v>
      </c>
      <c r="D13" s="90" t="b">
        <v>1</v>
      </c>
      <c r="E13" s="91"/>
      <c r="F13" s="51" t="b">
        <v>1</v>
      </c>
      <c r="G13" s="51" t="b">
        <v>1</v>
      </c>
      <c r="H13" s="51" t="b">
        <v>1</v>
      </c>
      <c r="I13" s="51" t="b">
        <v>1</v>
      </c>
      <c r="J13" s="51" t="b">
        <v>1</v>
      </c>
      <c r="K13" s="51" t="b">
        <v>1</v>
      </c>
      <c r="L13" s="51" t="b">
        <v>1</v>
      </c>
      <c r="M13" s="51" t="b">
        <v>1</v>
      </c>
      <c r="N13" s="51" t="b">
        <v>1</v>
      </c>
      <c r="O13" s="51" t="b">
        <v>1</v>
      </c>
      <c r="P13" s="51" t="b">
        <v>1</v>
      </c>
      <c r="Q13" s="51" t="b">
        <v>1</v>
      </c>
      <c r="R13" s="51" t="b">
        <v>1</v>
      </c>
      <c r="S13" s="51" t="b">
        <v>1</v>
      </c>
      <c r="T13" s="51" t="b">
        <v>1</v>
      </c>
      <c r="U13" s="51" t="b">
        <v>1</v>
      </c>
      <c r="V13" s="51" t="b">
        <v>1</v>
      </c>
      <c r="W13" s="51" t="b">
        <v>1</v>
      </c>
      <c r="X13" s="52"/>
    </row>
    <row r="14" spans="1:28" ht="16.5">
      <c r="A14" s="49">
        <f t="shared" si="0"/>
        <v>9</v>
      </c>
      <c r="B14" s="50" t="s">
        <v>67</v>
      </c>
      <c r="C14" s="46">
        <v>2</v>
      </c>
      <c r="D14" s="90" t="b">
        <v>0</v>
      </c>
      <c r="E14" s="91"/>
      <c r="F14" s="51" t="b">
        <v>0</v>
      </c>
      <c r="G14" s="51" t="b">
        <v>0</v>
      </c>
      <c r="H14" s="51" t="b">
        <v>0</v>
      </c>
      <c r="I14" s="51" t="b">
        <v>0</v>
      </c>
      <c r="J14" s="51" t="b">
        <v>0</v>
      </c>
      <c r="K14" s="51" t="b">
        <v>0</v>
      </c>
      <c r="L14" s="51" t="b">
        <v>0</v>
      </c>
      <c r="M14" s="51" t="b">
        <v>0</v>
      </c>
      <c r="N14" s="51" t="b">
        <v>0</v>
      </c>
      <c r="O14" s="51" t="b">
        <v>0</v>
      </c>
      <c r="P14" s="51" t="b">
        <v>0</v>
      </c>
      <c r="Q14" s="51" t="b">
        <v>0</v>
      </c>
      <c r="R14" s="51" t="b">
        <v>0</v>
      </c>
      <c r="S14" s="51" t="b">
        <v>0</v>
      </c>
      <c r="T14" s="51" t="b">
        <v>0</v>
      </c>
      <c r="U14" s="51" t="b">
        <v>0</v>
      </c>
      <c r="V14" s="51" t="b">
        <v>0</v>
      </c>
      <c r="W14" s="51" t="b">
        <v>0</v>
      </c>
      <c r="X14" s="52"/>
    </row>
    <row r="15" spans="1:28" ht="16.5">
      <c r="A15" s="49">
        <f t="shared" si="0"/>
        <v>10</v>
      </c>
      <c r="B15" s="50" t="s">
        <v>68</v>
      </c>
      <c r="C15" s="46">
        <v>2</v>
      </c>
      <c r="D15" s="90" t="b">
        <v>1</v>
      </c>
      <c r="E15" s="91"/>
      <c r="F15" s="51" t="b">
        <v>1</v>
      </c>
      <c r="G15" s="51" t="b">
        <v>1</v>
      </c>
      <c r="H15" s="51" t="b">
        <v>1</v>
      </c>
      <c r="I15" s="51" t="b">
        <v>1</v>
      </c>
      <c r="J15" s="51" t="b">
        <v>1</v>
      </c>
      <c r="K15" s="51" t="b">
        <v>1</v>
      </c>
      <c r="L15" s="51" t="b">
        <v>1</v>
      </c>
      <c r="M15" s="51" t="b">
        <v>1</v>
      </c>
      <c r="N15" s="51" t="b">
        <v>1</v>
      </c>
      <c r="O15" s="51" t="b">
        <v>1</v>
      </c>
      <c r="P15" s="51" t="b">
        <v>1</v>
      </c>
      <c r="Q15" s="51" t="b">
        <v>1</v>
      </c>
      <c r="R15" s="51" t="b">
        <v>1</v>
      </c>
      <c r="S15" s="51" t="b">
        <v>1</v>
      </c>
      <c r="T15" s="51" t="b">
        <v>1</v>
      </c>
      <c r="U15" s="51" t="b">
        <v>1</v>
      </c>
      <c r="V15" s="51" t="b">
        <v>1</v>
      </c>
      <c r="W15" s="51" t="b">
        <v>1</v>
      </c>
      <c r="X15" s="52"/>
    </row>
    <row r="16" spans="1:28" ht="16.5">
      <c r="A16" s="49">
        <f t="shared" si="0"/>
        <v>11</v>
      </c>
      <c r="B16" s="50" t="s">
        <v>69</v>
      </c>
      <c r="C16" s="46">
        <v>2</v>
      </c>
      <c r="D16" s="90" t="b">
        <v>1</v>
      </c>
      <c r="E16" s="91"/>
      <c r="F16" s="51" t="b">
        <v>1</v>
      </c>
      <c r="G16" s="51" t="b">
        <v>1</v>
      </c>
      <c r="H16" s="51" t="b">
        <v>1</v>
      </c>
      <c r="I16" s="51" t="b">
        <v>1</v>
      </c>
      <c r="J16" s="51" t="b">
        <v>1</v>
      </c>
      <c r="K16" s="51" t="b">
        <v>1</v>
      </c>
      <c r="L16" s="51" t="b">
        <v>1</v>
      </c>
      <c r="M16" s="51" t="b">
        <v>1</v>
      </c>
      <c r="N16" s="51" t="b">
        <v>1</v>
      </c>
      <c r="O16" s="51" t="b">
        <v>1</v>
      </c>
      <c r="P16" s="51" t="b">
        <v>1</v>
      </c>
      <c r="Q16" s="51" t="b">
        <v>1</v>
      </c>
      <c r="R16" s="51" t="b">
        <v>1</v>
      </c>
      <c r="S16" s="51" t="b">
        <v>1</v>
      </c>
      <c r="T16" s="51" t="b">
        <v>1</v>
      </c>
      <c r="U16" s="51" t="b">
        <v>1</v>
      </c>
      <c r="V16" s="51" t="b">
        <v>1</v>
      </c>
      <c r="W16" s="51" t="b">
        <v>1</v>
      </c>
      <c r="X16" s="52"/>
    </row>
    <row r="17" spans="1:24" ht="16.5">
      <c r="A17" s="49">
        <f t="shared" si="0"/>
        <v>12</v>
      </c>
      <c r="B17" s="50" t="s">
        <v>70</v>
      </c>
      <c r="C17" s="46">
        <v>2</v>
      </c>
      <c r="D17" s="90" t="b">
        <v>1</v>
      </c>
      <c r="E17" s="91"/>
      <c r="F17" s="51" t="b">
        <v>1</v>
      </c>
      <c r="G17" s="51" t="b">
        <v>0</v>
      </c>
      <c r="H17" s="51" t="b">
        <v>0</v>
      </c>
      <c r="I17" s="51" t="b">
        <v>0</v>
      </c>
      <c r="J17" s="51" t="b">
        <v>1</v>
      </c>
      <c r="K17" s="51" t="b">
        <v>1</v>
      </c>
      <c r="L17" s="51" t="b">
        <v>0</v>
      </c>
      <c r="M17" s="51" t="b">
        <v>1</v>
      </c>
      <c r="N17" s="51" t="b">
        <v>1</v>
      </c>
      <c r="O17" s="51" t="b">
        <v>0</v>
      </c>
      <c r="P17" s="51" t="b">
        <v>0</v>
      </c>
      <c r="Q17" s="51" t="b">
        <v>1</v>
      </c>
      <c r="R17" s="51" t="b">
        <v>1</v>
      </c>
      <c r="S17" s="51" t="b">
        <v>1</v>
      </c>
      <c r="T17" s="51" t="b">
        <v>1</v>
      </c>
      <c r="U17" s="51" t="b">
        <v>1</v>
      </c>
      <c r="V17" s="51" t="b">
        <v>1</v>
      </c>
      <c r="W17" s="51" t="b">
        <v>1</v>
      </c>
      <c r="X17" s="35">
        <v>1</v>
      </c>
    </row>
    <row r="18" spans="1:24" ht="16.5">
      <c r="A18" s="49">
        <f t="shared" si="0"/>
        <v>13</v>
      </c>
      <c r="B18" s="50" t="s">
        <v>71</v>
      </c>
      <c r="C18" s="46">
        <v>2</v>
      </c>
      <c r="D18" s="90" t="b">
        <v>1</v>
      </c>
      <c r="E18" s="91"/>
      <c r="F18" s="51" t="b">
        <v>1</v>
      </c>
      <c r="G18" s="51" t="b">
        <v>1</v>
      </c>
      <c r="H18" s="51" t="b">
        <v>0</v>
      </c>
      <c r="I18" s="51" t="b">
        <v>0</v>
      </c>
      <c r="J18" s="51" t="b">
        <v>1</v>
      </c>
      <c r="K18" s="51" t="b">
        <v>1</v>
      </c>
      <c r="L18" s="51" t="b">
        <v>1</v>
      </c>
      <c r="M18" s="51" t="b">
        <v>1</v>
      </c>
      <c r="N18" s="51" t="b">
        <v>1</v>
      </c>
      <c r="O18" s="51" t="b">
        <v>1</v>
      </c>
      <c r="P18" s="51" t="b">
        <v>1</v>
      </c>
      <c r="Q18" s="51" t="b">
        <v>1</v>
      </c>
      <c r="R18" s="51" t="b">
        <v>1</v>
      </c>
      <c r="S18" s="51" t="b">
        <v>1</v>
      </c>
      <c r="T18" s="51" t="b">
        <v>1</v>
      </c>
      <c r="U18" s="51" t="b">
        <v>1</v>
      </c>
      <c r="V18" s="51" t="b">
        <v>1</v>
      </c>
      <c r="W18" s="51" t="b">
        <v>1</v>
      </c>
      <c r="X18" s="35">
        <v>1</v>
      </c>
    </row>
    <row r="19" spans="1:24" ht="16.5">
      <c r="A19" s="49">
        <f t="shared" si="0"/>
        <v>14</v>
      </c>
      <c r="B19" s="50" t="s">
        <v>72</v>
      </c>
      <c r="C19" s="46">
        <v>2</v>
      </c>
      <c r="D19" s="90" t="b">
        <v>1</v>
      </c>
      <c r="E19" s="91"/>
      <c r="F19" s="51" t="b">
        <v>1</v>
      </c>
      <c r="G19" s="51" t="b">
        <v>1</v>
      </c>
      <c r="H19" s="51" t="b">
        <v>0</v>
      </c>
      <c r="I19" s="51" t="b">
        <v>0</v>
      </c>
      <c r="J19" s="51" t="b">
        <v>0</v>
      </c>
      <c r="K19" s="51" t="b">
        <v>0</v>
      </c>
      <c r="L19" s="51" t="b">
        <v>0</v>
      </c>
      <c r="M19" s="51" t="b">
        <v>0</v>
      </c>
      <c r="N19" s="51" t="b">
        <v>0</v>
      </c>
      <c r="O19" s="51" t="b">
        <v>1</v>
      </c>
      <c r="P19" s="51" t="b">
        <v>1</v>
      </c>
      <c r="Q19" s="51" t="b">
        <v>0</v>
      </c>
      <c r="R19" s="51" t="b">
        <v>0</v>
      </c>
      <c r="S19" s="51" t="b">
        <v>0</v>
      </c>
      <c r="T19" s="51" t="b">
        <v>0</v>
      </c>
      <c r="U19" s="51" t="b">
        <v>1</v>
      </c>
      <c r="V19" s="51" t="b">
        <v>1</v>
      </c>
      <c r="W19" s="51" t="b">
        <v>1</v>
      </c>
      <c r="X19" s="35">
        <v>0.5</v>
      </c>
    </row>
    <row r="20" spans="1:24" ht="16.5">
      <c r="A20" s="49">
        <f t="shared" si="0"/>
        <v>15</v>
      </c>
      <c r="B20" s="50" t="s">
        <v>73</v>
      </c>
      <c r="C20" s="46">
        <v>2</v>
      </c>
      <c r="D20" s="90" t="b">
        <v>1</v>
      </c>
      <c r="E20" s="91"/>
      <c r="F20" s="51" t="b">
        <v>1</v>
      </c>
      <c r="G20" s="51" t="b">
        <v>1</v>
      </c>
      <c r="H20" s="51" t="b">
        <v>0</v>
      </c>
      <c r="I20" s="51" t="b">
        <v>0</v>
      </c>
      <c r="J20" s="51" t="b">
        <v>1</v>
      </c>
      <c r="K20" s="51" t="b">
        <v>1</v>
      </c>
      <c r="L20" s="51" t="b">
        <v>0</v>
      </c>
      <c r="M20" s="51" t="b">
        <v>0</v>
      </c>
      <c r="N20" s="51" t="b">
        <v>0</v>
      </c>
      <c r="O20" s="51" t="b">
        <v>0</v>
      </c>
      <c r="P20" s="51" t="b">
        <v>1</v>
      </c>
      <c r="Q20" s="51" t="b">
        <v>0</v>
      </c>
      <c r="R20" s="51" t="b">
        <v>0</v>
      </c>
      <c r="S20" s="51" t="b">
        <v>0</v>
      </c>
      <c r="T20" s="51" t="b">
        <v>0</v>
      </c>
      <c r="U20" s="51" t="b">
        <v>0</v>
      </c>
      <c r="V20" s="51" t="b">
        <v>0</v>
      </c>
      <c r="W20" s="51" t="b">
        <v>0</v>
      </c>
      <c r="X20" s="35">
        <v>1.5</v>
      </c>
    </row>
    <row r="21" spans="1:24" ht="16.5">
      <c r="A21" s="49">
        <f t="shared" si="0"/>
        <v>16</v>
      </c>
      <c r="B21" s="50" t="s">
        <v>74</v>
      </c>
      <c r="C21" s="46">
        <v>2</v>
      </c>
      <c r="D21" s="90" t="b">
        <v>1</v>
      </c>
      <c r="E21" s="91"/>
      <c r="F21" s="51" t="b">
        <v>1</v>
      </c>
      <c r="G21" s="51" t="b">
        <v>1</v>
      </c>
      <c r="H21" s="51" t="b">
        <v>1</v>
      </c>
      <c r="I21" s="51" t="b">
        <v>1</v>
      </c>
      <c r="J21" s="51" t="b">
        <v>1</v>
      </c>
      <c r="K21" s="51" t="b">
        <v>1</v>
      </c>
      <c r="L21" s="51" t="b">
        <v>0</v>
      </c>
      <c r="M21" s="51" t="b">
        <v>0</v>
      </c>
      <c r="N21" s="51" t="b">
        <v>0</v>
      </c>
      <c r="O21" s="51" t="b">
        <v>0</v>
      </c>
      <c r="P21" s="51" t="b">
        <v>1</v>
      </c>
      <c r="Q21" s="51" t="b">
        <v>1</v>
      </c>
      <c r="R21" s="51" t="b">
        <v>1</v>
      </c>
      <c r="S21" s="51" t="b">
        <v>1</v>
      </c>
      <c r="T21" s="51" t="b">
        <v>1</v>
      </c>
      <c r="U21" s="51" t="b">
        <v>1</v>
      </c>
      <c r="V21" s="51" t="b">
        <v>1</v>
      </c>
      <c r="W21" s="51" t="b">
        <v>1</v>
      </c>
      <c r="X21" s="35">
        <v>0.5</v>
      </c>
    </row>
    <row r="22" spans="1:24" ht="16.5">
      <c r="A22" s="53" t="s">
        <v>75</v>
      </c>
      <c r="B22" s="54" t="s">
        <v>76</v>
      </c>
      <c r="C22" s="55"/>
      <c r="D22" s="92" t="b">
        <v>0</v>
      </c>
      <c r="E22" s="93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8"/>
      <c r="X22" s="59"/>
    </row>
    <row r="23" spans="1:24" ht="16.5">
      <c r="A23" s="49">
        <v>1</v>
      </c>
      <c r="B23" s="50" t="s">
        <v>77</v>
      </c>
      <c r="C23" s="60">
        <v>1</v>
      </c>
      <c r="D23" s="92" t="b">
        <v>1</v>
      </c>
      <c r="E23" s="93"/>
      <c r="F23" s="51" t="b">
        <v>1</v>
      </c>
      <c r="G23" s="51" t="b">
        <v>1</v>
      </c>
      <c r="H23" s="51" t="b">
        <v>1</v>
      </c>
      <c r="I23" s="51" t="b">
        <v>1</v>
      </c>
      <c r="J23" s="51" t="b">
        <v>1</v>
      </c>
      <c r="K23" s="51" t="b">
        <v>1</v>
      </c>
      <c r="L23" s="51" t="b">
        <v>1</v>
      </c>
      <c r="M23" s="51" t="b">
        <v>0</v>
      </c>
      <c r="N23" s="51" t="b">
        <v>0</v>
      </c>
      <c r="O23" s="51" t="b">
        <v>0</v>
      </c>
      <c r="P23" s="51" t="b">
        <v>0</v>
      </c>
      <c r="Q23" s="51" t="b">
        <v>0</v>
      </c>
      <c r="R23" s="51" t="b">
        <v>0</v>
      </c>
      <c r="S23" s="51" t="b">
        <v>0</v>
      </c>
      <c r="T23" s="51" t="b">
        <v>0</v>
      </c>
      <c r="U23" s="51" t="b">
        <v>0</v>
      </c>
      <c r="V23" s="51" t="b">
        <v>0</v>
      </c>
      <c r="W23" s="51" t="b">
        <v>0</v>
      </c>
      <c r="X23" s="59">
        <v>1</v>
      </c>
    </row>
    <row r="24" spans="1:24" ht="16.5">
      <c r="A24" s="49">
        <f t="shared" ref="A24:A27" si="1">A23+1</f>
        <v>2</v>
      </c>
      <c r="B24" s="50" t="s">
        <v>78</v>
      </c>
      <c r="C24" s="60">
        <v>1</v>
      </c>
      <c r="D24" s="92" t="b">
        <v>1</v>
      </c>
      <c r="E24" s="93"/>
      <c r="F24" s="51" t="b">
        <v>1</v>
      </c>
      <c r="G24" s="51" t="b">
        <v>1</v>
      </c>
      <c r="H24" s="51" t="b">
        <v>1</v>
      </c>
      <c r="I24" s="51" t="b">
        <v>1</v>
      </c>
      <c r="J24" s="51" t="b">
        <v>1</v>
      </c>
      <c r="K24" s="51" t="b">
        <v>1</v>
      </c>
      <c r="L24" s="51" t="b">
        <v>1</v>
      </c>
      <c r="M24" s="51" t="b">
        <v>0</v>
      </c>
      <c r="N24" s="51" t="b">
        <v>0</v>
      </c>
      <c r="O24" s="51" t="b">
        <v>0</v>
      </c>
      <c r="P24" s="51" t="b">
        <v>0</v>
      </c>
      <c r="Q24" s="51" t="b">
        <v>0</v>
      </c>
      <c r="R24" s="51" t="b">
        <v>0</v>
      </c>
      <c r="S24" s="51" t="b">
        <v>0</v>
      </c>
      <c r="T24" s="51" t="b">
        <v>0</v>
      </c>
      <c r="U24" s="51" t="b">
        <v>0</v>
      </c>
      <c r="V24" s="51" t="b">
        <v>0</v>
      </c>
      <c r="W24" s="51" t="b">
        <v>0</v>
      </c>
      <c r="X24" s="59">
        <v>1</v>
      </c>
    </row>
    <row r="25" spans="1:24" ht="16.5">
      <c r="A25" s="49">
        <f t="shared" si="1"/>
        <v>3</v>
      </c>
      <c r="B25" s="50" t="s">
        <v>79</v>
      </c>
      <c r="C25" s="60">
        <v>1</v>
      </c>
      <c r="D25" s="92" t="b">
        <v>1</v>
      </c>
      <c r="E25" s="93"/>
      <c r="F25" s="51" t="b">
        <v>1</v>
      </c>
      <c r="G25" s="51" t="b">
        <v>1</v>
      </c>
      <c r="H25" s="51" t="b">
        <v>1</v>
      </c>
      <c r="I25" s="51" t="b">
        <v>1</v>
      </c>
      <c r="J25" s="51" t="b">
        <v>1</v>
      </c>
      <c r="K25" s="51" t="b">
        <v>1</v>
      </c>
      <c r="L25" s="51" t="b">
        <v>1</v>
      </c>
      <c r="M25" s="51" t="b">
        <v>0</v>
      </c>
      <c r="N25" s="51" t="b">
        <v>0</v>
      </c>
      <c r="O25" s="51" t="b">
        <v>0</v>
      </c>
      <c r="P25" s="51" t="b">
        <v>0</v>
      </c>
      <c r="Q25" s="51" t="b">
        <v>0</v>
      </c>
      <c r="R25" s="51" t="b">
        <v>0</v>
      </c>
      <c r="S25" s="51" t="b">
        <v>0</v>
      </c>
      <c r="T25" s="51" t="b">
        <v>0</v>
      </c>
      <c r="U25" s="51" t="b">
        <v>0</v>
      </c>
      <c r="V25" s="51" t="b">
        <v>0</v>
      </c>
      <c r="W25" s="51" t="b">
        <v>0</v>
      </c>
      <c r="X25" s="59">
        <v>1</v>
      </c>
    </row>
    <row r="26" spans="1:24" ht="16.5">
      <c r="A26" s="49">
        <f t="shared" si="1"/>
        <v>4</v>
      </c>
      <c r="B26" s="50" t="s">
        <v>80</v>
      </c>
      <c r="C26" s="60">
        <v>1</v>
      </c>
      <c r="D26" s="92" t="b">
        <v>1</v>
      </c>
      <c r="E26" s="93"/>
      <c r="F26" s="51" t="b">
        <v>1</v>
      </c>
      <c r="G26" s="51" t="b">
        <v>1</v>
      </c>
      <c r="H26" s="51" t="b">
        <v>1</v>
      </c>
      <c r="I26" s="51" t="b">
        <v>1</v>
      </c>
      <c r="J26" s="51" t="b">
        <v>1</v>
      </c>
      <c r="K26" s="51" t="b">
        <v>1</v>
      </c>
      <c r="L26" s="51" t="b">
        <v>1</v>
      </c>
      <c r="M26" s="51" t="b">
        <v>0</v>
      </c>
      <c r="N26" s="51" t="b">
        <v>0</v>
      </c>
      <c r="O26" s="51" t="b">
        <v>0</v>
      </c>
      <c r="P26" s="51" t="b">
        <v>0</v>
      </c>
      <c r="Q26" s="51" t="b">
        <v>0</v>
      </c>
      <c r="R26" s="51" t="b">
        <v>0</v>
      </c>
      <c r="S26" s="51" t="b">
        <v>0</v>
      </c>
      <c r="T26" s="51" t="b">
        <v>0</v>
      </c>
      <c r="U26" s="51" t="b">
        <v>0</v>
      </c>
      <c r="V26" s="51" t="b">
        <v>0</v>
      </c>
      <c r="W26" s="51" t="b">
        <v>0</v>
      </c>
      <c r="X26" s="59">
        <v>2.5</v>
      </c>
    </row>
    <row r="27" spans="1:24" ht="16.5">
      <c r="A27" s="49">
        <f t="shared" si="1"/>
        <v>5</v>
      </c>
      <c r="B27" s="50" t="s">
        <v>81</v>
      </c>
      <c r="C27" s="60">
        <v>1</v>
      </c>
      <c r="D27" s="92" t="b">
        <v>1</v>
      </c>
      <c r="E27" s="93"/>
      <c r="F27" s="51" t="b">
        <v>1</v>
      </c>
      <c r="G27" s="51" t="b">
        <v>1</v>
      </c>
      <c r="H27" s="51" t="b">
        <v>1</v>
      </c>
      <c r="I27" s="51" t="b">
        <v>1</v>
      </c>
      <c r="J27" s="51" t="b">
        <v>1</v>
      </c>
      <c r="K27" s="51" t="b">
        <v>1</v>
      </c>
      <c r="L27" s="51" t="b">
        <v>1</v>
      </c>
      <c r="M27" s="51" t="b">
        <v>0</v>
      </c>
      <c r="N27" s="51" t="b">
        <v>0</v>
      </c>
      <c r="O27" s="51" t="b">
        <v>0</v>
      </c>
      <c r="P27" s="51" t="b">
        <v>0</v>
      </c>
      <c r="Q27" s="51" t="b">
        <v>0</v>
      </c>
      <c r="R27" s="51" t="b">
        <v>0</v>
      </c>
      <c r="S27" s="51" t="b">
        <v>0</v>
      </c>
      <c r="T27" s="51" t="b">
        <v>0</v>
      </c>
      <c r="U27" s="51" t="b">
        <v>0</v>
      </c>
      <c r="V27" s="51" t="b">
        <v>0</v>
      </c>
      <c r="W27" s="51" t="b">
        <v>0</v>
      </c>
      <c r="X27" s="59">
        <v>1</v>
      </c>
    </row>
    <row r="28" spans="1:24" ht="16.5">
      <c r="A28" s="53" t="s">
        <v>82</v>
      </c>
      <c r="B28" s="54" t="s">
        <v>83</v>
      </c>
      <c r="C28" s="55"/>
      <c r="D28" s="92" t="b">
        <v>0</v>
      </c>
      <c r="E28" s="93"/>
      <c r="F28" s="56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8"/>
      <c r="X28" s="59"/>
    </row>
    <row r="29" spans="1:24" ht="16.5">
      <c r="A29" s="49">
        <v>1</v>
      </c>
      <c r="B29" s="50" t="s">
        <v>84</v>
      </c>
      <c r="C29" s="60">
        <v>1</v>
      </c>
      <c r="D29" s="92" t="b">
        <v>1</v>
      </c>
      <c r="E29" s="93"/>
      <c r="F29" s="51" t="b">
        <v>1</v>
      </c>
      <c r="G29" s="51" t="b">
        <v>1</v>
      </c>
      <c r="H29" s="51" t="b">
        <v>1</v>
      </c>
      <c r="I29" s="51" t="b">
        <v>1</v>
      </c>
      <c r="J29" s="51" t="b">
        <v>0</v>
      </c>
      <c r="K29" s="51" t="b">
        <v>0</v>
      </c>
      <c r="L29" s="51" t="b">
        <v>1</v>
      </c>
      <c r="M29" s="51" t="b">
        <v>0</v>
      </c>
      <c r="N29" s="51" t="b">
        <v>0</v>
      </c>
      <c r="O29" s="51" t="b">
        <v>0</v>
      </c>
      <c r="P29" s="51" t="b">
        <v>0</v>
      </c>
      <c r="Q29" s="51" t="b">
        <v>0</v>
      </c>
      <c r="R29" s="51" t="b">
        <v>0</v>
      </c>
      <c r="S29" s="51" t="b">
        <v>1</v>
      </c>
      <c r="T29" s="51" t="b">
        <v>1</v>
      </c>
      <c r="U29" s="51" t="b">
        <v>1</v>
      </c>
      <c r="V29" s="51" t="b">
        <v>1</v>
      </c>
      <c r="W29" s="51" t="b">
        <v>1</v>
      </c>
      <c r="X29" s="59">
        <v>1</v>
      </c>
    </row>
    <row r="30" spans="1:24" ht="16.5">
      <c r="A30" s="49">
        <f t="shared" ref="A30:A59" si="2">A29+1</f>
        <v>2</v>
      </c>
      <c r="B30" s="50" t="s">
        <v>85</v>
      </c>
      <c r="C30" s="60">
        <v>1</v>
      </c>
      <c r="D30" s="92" t="b">
        <v>1</v>
      </c>
      <c r="E30" s="93"/>
      <c r="F30" s="51" t="b">
        <v>1</v>
      </c>
      <c r="G30" s="51" t="b">
        <v>1</v>
      </c>
      <c r="H30" s="51" t="b">
        <v>1</v>
      </c>
      <c r="I30" s="51" t="b">
        <v>1</v>
      </c>
      <c r="J30" s="51" t="b">
        <v>0</v>
      </c>
      <c r="K30" s="51" t="b">
        <v>0</v>
      </c>
      <c r="L30" s="51" t="b">
        <v>1</v>
      </c>
      <c r="M30" s="51" t="b">
        <v>0</v>
      </c>
      <c r="N30" s="51" t="b">
        <v>0</v>
      </c>
      <c r="O30" s="51" t="b">
        <v>0</v>
      </c>
      <c r="P30" s="51" t="b">
        <v>0</v>
      </c>
      <c r="Q30" s="51" t="b">
        <v>0</v>
      </c>
      <c r="R30" s="51" t="b">
        <v>0</v>
      </c>
      <c r="S30" s="51" t="b">
        <v>1</v>
      </c>
      <c r="T30" s="51" t="b">
        <v>1</v>
      </c>
      <c r="U30" s="51" t="b">
        <v>1</v>
      </c>
      <c r="V30" s="51" t="b">
        <v>1</v>
      </c>
      <c r="W30" s="51" t="b">
        <v>1</v>
      </c>
      <c r="X30" s="59">
        <v>1</v>
      </c>
    </row>
    <row r="31" spans="1:24" ht="16.5">
      <c r="A31" s="49">
        <f t="shared" si="2"/>
        <v>3</v>
      </c>
      <c r="B31" s="50" t="s">
        <v>86</v>
      </c>
      <c r="C31" s="60">
        <v>2</v>
      </c>
      <c r="D31" s="92" t="b">
        <v>1</v>
      </c>
      <c r="E31" s="93"/>
      <c r="F31" s="51" t="b">
        <v>1</v>
      </c>
      <c r="G31" s="51" t="b">
        <v>1</v>
      </c>
      <c r="H31" s="51" t="b">
        <v>0</v>
      </c>
      <c r="I31" s="51" t="b">
        <v>0</v>
      </c>
      <c r="J31" s="51" t="b">
        <v>0</v>
      </c>
      <c r="K31" s="51" t="b">
        <v>0</v>
      </c>
      <c r="L31" s="51" t="b">
        <v>1</v>
      </c>
      <c r="M31" s="51" t="b">
        <v>0</v>
      </c>
      <c r="N31" s="51" t="b">
        <v>0</v>
      </c>
      <c r="O31" s="51" t="b">
        <v>0</v>
      </c>
      <c r="P31" s="51" t="b">
        <v>0</v>
      </c>
      <c r="Q31" s="51" t="b">
        <v>0</v>
      </c>
      <c r="R31" s="51" t="b">
        <v>0</v>
      </c>
      <c r="S31" s="51" t="b">
        <v>1</v>
      </c>
      <c r="T31" s="51" t="b">
        <v>1</v>
      </c>
      <c r="U31" s="51" t="b">
        <v>1</v>
      </c>
      <c r="V31" s="51" t="b">
        <v>1</v>
      </c>
      <c r="W31" s="51" t="b">
        <v>1</v>
      </c>
      <c r="X31" s="59">
        <v>1</v>
      </c>
    </row>
    <row r="32" spans="1:24" ht="16.5">
      <c r="A32" s="49">
        <f>A31+1</f>
        <v>4</v>
      </c>
      <c r="B32" s="50" t="s">
        <v>87</v>
      </c>
      <c r="C32" s="60">
        <v>1</v>
      </c>
      <c r="D32" s="92" t="b">
        <v>1</v>
      </c>
      <c r="E32" s="93"/>
      <c r="F32" s="51" t="b">
        <v>1</v>
      </c>
      <c r="G32" s="51" t="b">
        <v>1</v>
      </c>
      <c r="H32" s="51" t="b">
        <v>1</v>
      </c>
      <c r="I32" s="51" t="b">
        <v>0</v>
      </c>
      <c r="J32" s="51" t="b">
        <v>1</v>
      </c>
      <c r="K32" s="51" t="b">
        <v>1</v>
      </c>
      <c r="L32" s="51" t="b">
        <v>1</v>
      </c>
      <c r="M32" s="51" t="b">
        <v>0</v>
      </c>
      <c r="N32" s="51" t="b">
        <v>0</v>
      </c>
      <c r="O32" s="51" t="b">
        <v>0</v>
      </c>
      <c r="P32" s="51" t="b">
        <v>0</v>
      </c>
      <c r="Q32" s="51" t="b">
        <v>1</v>
      </c>
      <c r="R32" s="51" t="b">
        <v>1</v>
      </c>
      <c r="S32" s="51" t="b">
        <v>1</v>
      </c>
      <c r="T32" s="51" t="b">
        <v>1</v>
      </c>
      <c r="U32" s="51" t="b">
        <v>1</v>
      </c>
      <c r="V32" s="51" t="b">
        <v>1</v>
      </c>
      <c r="W32" s="51" t="b">
        <v>1</v>
      </c>
      <c r="X32" s="59">
        <v>1</v>
      </c>
    </row>
    <row r="33" spans="1:24" ht="16.5">
      <c r="A33" s="49">
        <f t="shared" si="2"/>
        <v>5</v>
      </c>
      <c r="B33" s="50" t="s">
        <v>88</v>
      </c>
      <c r="C33" s="60">
        <v>3</v>
      </c>
      <c r="D33" s="92" t="b">
        <v>1</v>
      </c>
      <c r="E33" s="93"/>
      <c r="F33" s="51" t="b">
        <v>0</v>
      </c>
      <c r="G33" s="51" t="b">
        <v>0</v>
      </c>
      <c r="H33" s="51" t="b">
        <v>0</v>
      </c>
      <c r="I33" s="51" t="b">
        <v>0</v>
      </c>
      <c r="J33" s="51" t="b">
        <v>0</v>
      </c>
      <c r="K33" s="51" t="b">
        <v>0</v>
      </c>
      <c r="L33" s="51" t="b">
        <v>0</v>
      </c>
      <c r="M33" s="51" t="b">
        <v>0</v>
      </c>
      <c r="N33" s="51" t="b">
        <v>0</v>
      </c>
      <c r="O33" s="51" t="b">
        <v>0</v>
      </c>
      <c r="P33" s="51" t="b">
        <v>0</v>
      </c>
      <c r="Q33" s="51" t="b">
        <v>0</v>
      </c>
      <c r="R33" s="51" t="b">
        <v>0</v>
      </c>
      <c r="S33" s="51" t="b">
        <v>0</v>
      </c>
      <c r="T33" s="51" t="b">
        <v>0</v>
      </c>
      <c r="U33" s="51" t="b">
        <v>1</v>
      </c>
      <c r="V33" s="51" t="b">
        <v>1</v>
      </c>
      <c r="W33" s="51" t="b">
        <v>1</v>
      </c>
      <c r="X33" s="59">
        <v>1</v>
      </c>
    </row>
    <row r="34" spans="1:24" ht="16.5">
      <c r="A34" s="49">
        <f t="shared" si="2"/>
        <v>6</v>
      </c>
      <c r="B34" s="50" t="s">
        <v>89</v>
      </c>
      <c r="C34" s="60">
        <v>3</v>
      </c>
      <c r="D34" s="92" t="b">
        <v>1</v>
      </c>
      <c r="E34" s="93"/>
      <c r="F34" s="51" t="b">
        <v>0</v>
      </c>
      <c r="G34" s="51" t="b">
        <v>0</v>
      </c>
      <c r="H34" s="51" t="b">
        <v>0</v>
      </c>
      <c r="I34" s="51" t="b">
        <v>0</v>
      </c>
      <c r="J34" s="51" t="b">
        <v>0</v>
      </c>
      <c r="K34" s="51" t="b">
        <v>0</v>
      </c>
      <c r="L34" s="51" t="b">
        <v>0</v>
      </c>
      <c r="M34" s="51" t="b">
        <v>0</v>
      </c>
      <c r="N34" s="51" t="b">
        <v>0</v>
      </c>
      <c r="O34" s="51" t="b">
        <v>0</v>
      </c>
      <c r="P34" s="51" t="b">
        <v>0</v>
      </c>
      <c r="Q34" s="51" t="b">
        <v>0</v>
      </c>
      <c r="R34" s="51" t="b">
        <v>0</v>
      </c>
      <c r="S34" s="51" t="b">
        <v>0</v>
      </c>
      <c r="T34" s="51" t="b">
        <v>0</v>
      </c>
      <c r="U34" s="51" t="b">
        <v>0</v>
      </c>
      <c r="V34" s="51" t="b">
        <v>0</v>
      </c>
      <c r="W34" s="51" t="b">
        <v>0</v>
      </c>
      <c r="X34" s="59">
        <v>1</v>
      </c>
    </row>
    <row r="35" spans="1:24" ht="16.5">
      <c r="A35" s="49">
        <f t="shared" si="2"/>
        <v>7</v>
      </c>
      <c r="B35" s="50" t="s">
        <v>90</v>
      </c>
      <c r="C35" s="60">
        <v>3</v>
      </c>
      <c r="D35" s="92" t="b">
        <v>1</v>
      </c>
      <c r="E35" s="93"/>
      <c r="F35" s="51" t="b">
        <v>0</v>
      </c>
      <c r="G35" s="51" t="b">
        <v>0</v>
      </c>
      <c r="H35" s="51" t="b">
        <v>0</v>
      </c>
      <c r="I35" s="51" t="b">
        <v>0</v>
      </c>
      <c r="J35" s="51" t="b">
        <v>0</v>
      </c>
      <c r="K35" s="51" t="b">
        <v>0</v>
      </c>
      <c r="L35" s="51" t="b">
        <v>0</v>
      </c>
      <c r="M35" s="51" t="b">
        <v>0</v>
      </c>
      <c r="N35" s="51" t="b">
        <v>0</v>
      </c>
      <c r="O35" s="51" t="b">
        <v>0</v>
      </c>
      <c r="P35" s="51" t="b">
        <v>0</v>
      </c>
      <c r="Q35" s="51" t="b">
        <v>0</v>
      </c>
      <c r="R35" s="51" t="b">
        <v>0</v>
      </c>
      <c r="S35" s="51" t="b">
        <v>0</v>
      </c>
      <c r="T35" s="51" t="b">
        <v>0</v>
      </c>
      <c r="U35" s="51" t="b">
        <v>0</v>
      </c>
      <c r="V35" s="51" t="b">
        <v>0</v>
      </c>
      <c r="W35" s="51" t="b">
        <v>0</v>
      </c>
      <c r="X35" s="59">
        <v>1</v>
      </c>
    </row>
    <row r="36" spans="1:24" ht="16.5">
      <c r="A36" s="49">
        <f t="shared" si="2"/>
        <v>8</v>
      </c>
      <c r="B36" s="50" t="s">
        <v>91</v>
      </c>
      <c r="C36" s="60">
        <v>2</v>
      </c>
      <c r="D36" s="92" t="b">
        <v>0</v>
      </c>
      <c r="E36" s="93"/>
      <c r="F36" s="51" t="b">
        <v>0</v>
      </c>
      <c r="G36" s="51" t="b">
        <v>0</v>
      </c>
      <c r="H36" s="51" t="b">
        <v>0</v>
      </c>
      <c r="I36" s="51" t="b">
        <v>0</v>
      </c>
      <c r="J36" s="51" t="b">
        <v>0</v>
      </c>
      <c r="K36" s="51" t="b">
        <v>0</v>
      </c>
      <c r="L36" s="51" t="b">
        <v>0</v>
      </c>
      <c r="M36" s="51" t="b">
        <v>0</v>
      </c>
      <c r="N36" s="51" t="b">
        <v>0</v>
      </c>
      <c r="O36" s="51" t="b">
        <v>0</v>
      </c>
      <c r="P36" s="51" t="b">
        <v>0</v>
      </c>
      <c r="Q36" s="51" t="b">
        <v>0</v>
      </c>
      <c r="R36" s="51" t="b">
        <v>0</v>
      </c>
      <c r="S36" s="51" t="b">
        <v>0</v>
      </c>
      <c r="T36" s="51" t="b">
        <v>0</v>
      </c>
      <c r="U36" s="51" t="b">
        <v>0</v>
      </c>
      <c r="V36" s="51" t="b">
        <v>0</v>
      </c>
      <c r="W36" s="51" t="b">
        <v>0</v>
      </c>
      <c r="X36" s="59">
        <v>8</v>
      </c>
    </row>
    <row r="37" spans="1:24" ht="16.5">
      <c r="A37" s="49">
        <f t="shared" si="2"/>
        <v>9</v>
      </c>
      <c r="B37" s="61" t="s">
        <v>92</v>
      </c>
      <c r="C37" s="60">
        <v>1</v>
      </c>
      <c r="D37" s="92" t="b">
        <v>0</v>
      </c>
      <c r="E37" s="93"/>
      <c r="F37" s="51" t="b">
        <v>0</v>
      </c>
      <c r="G37" s="51" t="b">
        <v>0</v>
      </c>
      <c r="H37" s="51" t="b">
        <v>0</v>
      </c>
      <c r="I37" s="51" t="b">
        <v>0</v>
      </c>
      <c r="J37" s="51" t="b">
        <v>0</v>
      </c>
      <c r="K37" s="51" t="b">
        <v>0</v>
      </c>
      <c r="L37" s="51" t="b">
        <v>0</v>
      </c>
      <c r="M37" s="51" t="b">
        <v>0</v>
      </c>
      <c r="N37" s="51" t="b">
        <v>0</v>
      </c>
      <c r="O37" s="51" t="b">
        <v>0</v>
      </c>
      <c r="P37" s="51" t="b">
        <v>0</v>
      </c>
      <c r="Q37" s="51" t="b">
        <v>0</v>
      </c>
      <c r="R37" s="51" t="b">
        <v>0</v>
      </c>
      <c r="S37" s="51" t="b">
        <v>0</v>
      </c>
      <c r="T37" s="51" t="b">
        <v>0</v>
      </c>
      <c r="U37" s="51" t="b">
        <v>0</v>
      </c>
      <c r="V37" s="51" t="b">
        <v>0</v>
      </c>
      <c r="W37" s="51" t="b">
        <v>0</v>
      </c>
      <c r="X37" s="59"/>
    </row>
    <row r="38" spans="1:24" ht="16.5">
      <c r="A38" s="49">
        <f t="shared" si="2"/>
        <v>10</v>
      </c>
      <c r="B38" s="50" t="s">
        <v>93</v>
      </c>
      <c r="C38" s="60">
        <v>3</v>
      </c>
      <c r="D38" s="92" t="b">
        <v>1</v>
      </c>
      <c r="E38" s="93"/>
      <c r="F38" s="51" t="b">
        <v>0</v>
      </c>
      <c r="G38" s="51" t="b">
        <v>0</v>
      </c>
      <c r="H38" s="51" t="b">
        <v>0</v>
      </c>
      <c r="I38" s="51" t="b">
        <v>0</v>
      </c>
      <c r="J38" s="51" t="b">
        <v>0</v>
      </c>
      <c r="K38" s="51" t="b">
        <v>0</v>
      </c>
      <c r="L38" s="51" t="b">
        <v>0</v>
      </c>
      <c r="M38" s="51" t="b">
        <v>0</v>
      </c>
      <c r="N38" s="51" t="b">
        <v>0</v>
      </c>
      <c r="O38" s="51" t="b">
        <v>0</v>
      </c>
      <c r="P38" s="51" t="b">
        <v>0</v>
      </c>
      <c r="Q38" s="51" t="b">
        <v>0</v>
      </c>
      <c r="R38" s="51" t="b">
        <v>0</v>
      </c>
      <c r="S38" s="51" t="b">
        <v>0</v>
      </c>
      <c r="T38" s="51" t="b">
        <v>0</v>
      </c>
      <c r="U38" s="51" t="b">
        <v>0</v>
      </c>
      <c r="V38" s="51" t="b">
        <v>0</v>
      </c>
      <c r="W38" s="51" t="b">
        <v>0</v>
      </c>
      <c r="X38" s="59">
        <v>1</v>
      </c>
    </row>
    <row r="39" spans="1:24" ht="16.5">
      <c r="A39" s="49">
        <f t="shared" si="2"/>
        <v>11</v>
      </c>
      <c r="B39" s="50" t="s">
        <v>94</v>
      </c>
      <c r="C39" s="60">
        <v>2</v>
      </c>
      <c r="D39" s="92" t="b">
        <v>1</v>
      </c>
      <c r="E39" s="93"/>
      <c r="F39" s="51" t="b">
        <v>0</v>
      </c>
      <c r="G39" s="51" t="b">
        <v>0</v>
      </c>
      <c r="H39" s="51" t="b">
        <v>0</v>
      </c>
      <c r="I39" s="51" t="b">
        <v>0</v>
      </c>
      <c r="J39" s="51" t="b">
        <v>0</v>
      </c>
      <c r="K39" s="51" t="b">
        <v>0</v>
      </c>
      <c r="L39" s="51" t="b">
        <v>0</v>
      </c>
      <c r="M39" s="51" t="b">
        <v>0</v>
      </c>
      <c r="N39" s="51" t="b">
        <v>0</v>
      </c>
      <c r="O39" s="51" t="b">
        <v>0</v>
      </c>
      <c r="P39" s="51" t="b">
        <v>0</v>
      </c>
      <c r="Q39" s="51" t="b">
        <v>0</v>
      </c>
      <c r="R39" s="51" t="b">
        <v>0</v>
      </c>
      <c r="S39" s="51" t="b">
        <v>0</v>
      </c>
      <c r="T39" s="51" t="b">
        <v>0</v>
      </c>
      <c r="U39" s="51" t="b">
        <v>0</v>
      </c>
      <c r="V39" s="51" t="b">
        <v>0</v>
      </c>
      <c r="W39" s="51" t="b">
        <v>0</v>
      </c>
      <c r="X39" s="59">
        <v>0.5</v>
      </c>
    </row>
    <row r="40" spans="1:24" ht="16.5">
      <c r="A40" s="49">
        <f t="shared" si="2"/>
        <v>12</v>
      </c>
      <c r="B40" s="50" t="s">
        <v>95</v>
      </c>
      <c r="C40" s="60">
        <v>2</v>
      </c>
      <c r="D40" s="92" t="b">
        <v>1</v>
      </c>
      <c r="E40" s="93"/>
      <c r="F40" s="51" t="b">
        <v>0</v>
      </c>
      <c r="G40" s="51" t="b">
        <v>0</v>
      </c>
      <c r="H40" s="51" t="b">
        <v>0</v>
      </c>
      <c r="I40" s="51" t="b">
        <v>0</v>
      </c>
      <c r="J40" s="51" t="b">
        <v>0</v>
      </c>
      <c r="K40" s="51" t="b">
        <v>0</v>
      </c>
      <c r="L40" s="51" t="b">
        <v>0</v>
      </c>
      <c r="M40" s="51" t="b">
        <v>0</v>
      </c>
      <c r="N40" s="51" t="b">
        <v>0</v>
      </c>
      <c r="O40" s="51" t="b">
        <v>0</v>
      </c>
      <c r="P40" s="51" t="b">
        <v>0</v>
      </c>
      <c r="Q40" s="51" t="b">
        <v>0</v>
      </c>
      <c r="R40" s="51" t="b">
        <v>0</v>
      </c>
      <c r="S40" s="51" t="b">
        <v>0</v>
      </c>
      <c r="T40" s="51" t="b">
        <v>0</v>
      </c>
      <c r="U40" s="51" t="b">
        <v>0</v>
      </c>
      <c r="V40" s="51" t="b">
        <v>0</v>
      </c>
      <c r="W40" s="51" t="b">
        <v>0</v>
      </c>
      <c r="X40" s="59">
        <v>0.5</v>
      </c>
    </row>
    <row r="41" spans="1:24" ht="16.5">
      <c r="A41" s="49">
        <f t="shared" si="2"/>
        <v>13</v>
      </c>
      <c r="B41" s="50" t="s">
        <v>96</v>
      </c>
      <c r="C41" s="60">
        <v>2</v>
      </c>
      <c r="D41" s="92" t="b">
        <v>1</v>
      </c>
      <c r="E41" s="93"/>
      <c r="F41" s="51" t="b">
        <v>0</v>
      </c>
      <c r="G41" s="51" t="b">
        <v>0</v>
      </c>
      <c r="H41" s="51" t="b">
        <v>0</v>
      </c>
      <c r="I41" s="51" t="b">
        <v>0</v>
      </c>
      <c r="J41" s="51" t="b">
        <v>0</v>
      </c>
      <c r="K41" s="51" t="b">
        <v>0</v>
      </c>
      <c r="L41" s="51" t="b">
        <v>0</v>
      </c>
      <c r="M41" s="51" t="b">
        <v>0</v>
      </c>
      <c r="N41" s="51" t="b">
        <v>0</v>
      </c>
      <c r="O41" s="51" t="b">
        <v>0</v>
      </c>
      <c r="P41" s="51" t="b">
        <v>0</v>
      </c>
      <c r="Q41" s="51" t="b">
        <v>0</v>
      </c>
      <c r="R41" s="51" t="b">
        <v>0</v>
      </c>
      <c r="S41" s="51" t="b">
        <v>0</v>
      </c>
      <c r="T41" s="51" t="b">
        <v>0</v>
      </c>
      <c r="U41" s="51" t="b">
        <v>0</v>
      </c>
      <c r="V41" s="51" t="b">
        <v>0</v>
      </c>
      <c r="W41" s="51" t="b">
        <v>0</v>
      </c>
      <c r="X41" s="59">
        <v>1</v>
      </c>
    </row>
    <row r="42" spans="1:24" ht="16.5">
      <c r="A42" s="49">
        <f t="shared" si="2"/>
        <v>14</v>
      </c>
      <c r="B42" s="61" t="s">
        <v>97</v>
      </c>
      <c r="C42" s="60">
        <v>3</v>
      </c>
      <c r="D42" s="92" t="b">
        <v>0</v>
      </c>
      <c r="E42" s="93"/>
      <c r="F42" s="51" t="b">
        <v>0</v>
      </c>
      <c r="G42" s="51" t="b">
        <v>0</v>
      </c>
      <c r="H42" s="51" t="b">
        <v>0</v>
      </c>
      <c r="I42" s="51" t="b">
        <v>0</v>
      </c>
      <c r="J42" s="51" t="b">
        <v>0</v>
      </c>
      <c r="K42" s="51" t="b">
        <v>0</v>
      </c>
      <c r="L42" s="51" t="b">
        <v>0</v>
      </c>
      <c r="M42" s="51" t="b">
        <v>0</v>
      </c>
      <c r="N42" s="51" t="b">
        <v>0</v>
      </c>
      <c r="O42" s="51" t="b">
        <v>0</v>
      </c>
      <c r="P42" s="51" t="b">
        <v>0</v>
      </c>
      <c r="Q42" s="51" t="b">
        <v>0</v>
      </c>
      <c r="R42" s="51" t="b">
        <v>0</v>
      </c>
      <c r="S42" s="51" t="b">
        <v>0</v>
      </c>
      <c r="T42" s="51" t="b">
        <v>0</v>
      </c>
      <c r="U42" s="51" t="b">
        <v>0</v>
      </c>
      <c r="V42" s="51" t="b">
        <v>0</v>
      </c>
      <c r="W42" s="51" t="b">
        <v>0</v>
      </c>
      <c r="X42" s="59"/>
    </row>
    <row r="43" spans="1:24" ht="16.5">
      <c r="A43" s="49">
        <f t="shared" si="2"/>
        <v>15</v>
      </c>
      <c r="B43" s="50" t="s">
        <v>98</v>
      </c>
      <c r="C43" s="60">
        <v>3</v>
      </c>
      <c r="D43" s="92" t="b">
        <v>1</v>
      </c>
      <c r="E43" s="93"/>
      <c r="F43" s="51" t="b">
        <v>0</v>
      </c>
      <c r="G43" s="51" t="b">
        <v>0</v>
      </c>
      <c r="H43" s="51" t="b">
        <v>0</v>
      </c>
      <c r="I43" s="51" t="b">
        <v>0</v>
      </c>
      <c r="J43" s="51" t="b">
        <v>0</v>
      </c>
      <c r="K43" s="51" t="b">
        <v>0</v>
      </c>
      <c r="L43" s="51" t="b">
        <v>0</v>
      </c>
      <c r="M43" s="51" t="b">
        <v>0</v>
      </c>
      <c r="N43" s="51" t="b">
        <v>0</v>
      </c>
      <c r="O43" s="51" t="b">
        <v>0</v>
      </c>
      <c r="P43" s="51" t="b">
        <v>0</v>
      </c>
      <c r="Q43" s="51" t="b">
        <v>0</v>
      </c>
      <c r="R43" s="51" t="b">
        <v>0</v>
      </c>
      <c r="S43" s="51" t="b">
        <v>0</v>
      </c>
      <c r="T43" s="51" t="b">
        <v>0</v>
      </c>
      <c r="U43" s="51" t="b">
        <v>0</v>
      </c>
      <c r="V43" s="51" t="b">
        <v>0</v>
      </c>
      <c r="W43" s="51" t="b">
        <v>0</v>
      </c>
      <c r="X43" s="59">
        <v>0.5</v>
      </c>
    </row>
    <row r="44" spans="1:24" ht="33.75">
      <c r="A44" s="49">
        <f t="shared" si="2"/>
        <v>16</v>
      </c>
      <c r="B44" s="50" t="s">
        <v>99</v>
      </c>
      <c r="C44" s="60">
        <v>3</v>
      </c>
      <c r="D44" s="92" t="b">
        <v>0</v>
      </c>
      <c r="E44" s="93"/>
      <c r="F44" s="51" t="b">
        <v>0</v>
      </c>
      <c r="G44" s="51" t="b">
        <v>0</v>
      </c>
      <c r="H44" s="51" t="b">
        <v>0</v>
      </c>
      <c r="I44" s="51" t="b">
        <v>0</v>
      </c>
      <c r="J44" s="51" t="b">
        <v>0</v>
      </c>
      <c r="K44" s="51" t="b">
        <v>0</v>
      </c>
      <c r="L44" s="51" t="b">
        <v>0</v>
      </c>
      <c r="M44" s="51" t="b">
        <v>0</v>
      </c>
      <c r="N44" s="51" t="b">
        <v>0</v>
      </c>
      <c r="O44" s="51" t="b">
        <v>0</v>
      </c>
      <c r="P44" s="51" t="b">
        <v>0</v>
      </c>
      <c r="Q44" s="51" t="b">
        <v>0</v>
      </c>
      <c r="R44" s="51" t="b">
        <v>0</v>
      </c>
      <c r="S44" s="51" t="b">
        <v>0</v>
      </c>
      <c r="T44" s="51" t="b">
        <v>0</v>
      </c>
      <c r="U44" s="51" t="b">
        <v>0</v>
      </c>
      <c r="V44" s="51" t="b">
        <v>0</v>
      </c>
      <c r="W44" s="51" t="b">
        <v>0</v>
      </c>
      <c r="X44" s="59">
        <v>0.5</v>
      </c>
    </row>
    <row r="45" spans="1:24" ht="16.5">
      <c r="A45" s="49">
        <f t="shared" si="2"/>
        <v>17</v>
      </c>
      <c r="B45" s="61" t="s">
        <v>100</v>
      </c>
      <c r="C45" s="60">
        <v>3</v>
      </c>
      <c r="D45" s="92" t="b">
        <v>0</v>
      </c>
      <c r="E45" s="93"/>
      <c r="F45" s="51" t="b">
        <v>0</v>
      </c>
      <c r="G45" s="51" t="b">
        <v>0</v>
      </c>
      <c r="H45" s="51" t="b">
        <v>0</v>
      </c>
      <c r="I45" s="51" t="b">
        <v>0</v>
      </c>
      <c r="J45" s="51" t="b">
        <v>0</v>
      </c>
      <c r="K45" s="51" t="b">
        <v>0</v>
      </c>
      <c r="L45" s="51" t="b">
        <v>0</v>
      </c>
      <c r="M45" s="51" t="b">
        <v>0</v>
      </c>
      <c r="N45" s="51" t="b">
        <v>0</v>
      </c>
      <c r="O45" s="51" t="b">
        <v>0</v>
      </c>
      <c r="P45" s="51" t="b">
        <v>0</v>
      </c>
      <c r="Q45" s="51" t="b">
        <v>0</v>
      </c>
      <c r="R45" s="51" t="b">
        <v>0</v>
      </c>
      <c r="S45" s="51" t="b">
        <v>0</v>
      </c>
      <c r="T45" s="51" t="b">
        <v>0</v>
      </c>
      <c r="U45" s="51" t="b">
        <v>0</v>
      </c>
      <c r="V45" s="51" t="b">
        <v>0</v>
      </c>
      <c r="W45" s="51" t="b">
        <v>0</v>
      </c>
      <c r="X45" s="59"/>
    </row>
    <row r="46" spans="1:24" ht="16.5">
      <c r="A46" s="49">
        <f t="shared" si="2"/>
        <v>18</v>
      </c>
      <c r="B46" s="50" t="s">
        <v>101</v>
      </c>
      <c r="C46" s="60">
        <v>3</v>
      </c>
      <c r="D46" s="92" t="b">
        <v>1</v>
      </c>
      <c r="E46" s="93"/>
      <c r="F46" s="51" t="b">
        <v>1</v>
      </c>
      <c r="G46" s="51" t="b">
        <v>1</v>
      </c>
      <c r="H46" s="51" t="b">
        <v>1</v>
      </c>
      <c r="I46" s="51" t="b">
        <v>1</v>
      </c>
      <c r="J46" s="51" t="b">
        <v>1</v>
      </c>
      <c r="K46" s="51" t="b">
        <v>1</v>
      </c>
      <c r="L46" s="51" t="b">
        <v>0</v>
      </c>
      <c r="M46" s="51" t="b">
        <v>0</v>
      </c>
      <c r="N46" s="51" t="b">
        <v>0</v>
      </c>
      <c r="O46" s="51" t="b">
        <v>0</v>
      </c>
      <c r="P46" s="51" t="b">
        <v>0</v>
      </c>
      <c r="Q46" s="51" t="b">
        <v>0</v>
      </c>
      <c r="R46" s="51" t="b">
        <v>0</v>
      </c>
      <c r="S46" s="51" t="b">
        <v>1</v>
      </c>
      <c r="T46" s="51" t="b">
        <v>1</v>
      </c>
      <c r="U46" s="51" t="b">
        <v>1</v>
      </c>
      <c r="V46" s="51" t="b">
        <v>1</v>
      </c>
      <c r="W46" s="51" t="b">
        <v>1</v>
      </c>
      <c r="X46" s="59">
        <v>1</v>
      </c>
    </row>
    <row r="47" spans="1:24" ht="16.5">
      <c r="A47" s="49">
        <f t="shared" si="2"/>
        <v>19</v>
      </c>
      <c r="B47" s="50" t="s">
        <v>102</v>
      </c>
      <c r="C47" s="60">
        <v>1</v>
      </c>
      <c r="D47" s="92" t="b">
        <v>1</v>
      </c>
      <c r="E47" s="93"/>
      <c r="F47" s="51" t="b">
        <v>0</v>
      </c>
      <c r="G47" s="51" t="b">
        <v>0</v>
      </c>
      <c r="H47" s="51" t="b">
        <v>0</v>
      </c>
      <c r="I47" s="51" t="b">
        <v>0</v>
      </c>
      <c r="J47" s="51" t="b">
        <v>0</v>
      </c>
      <c r="K47" s="51" t="b">
        <v>0</v>
      </c>
      <c r="L47" s="51" t="b">
        <v>0</v>
      </c>
      <c r="M47" s="51" t="b">
        <v>0</v>
      </c>
      <c r="N47" s="51" t="b">
        <v>0</v>
      </c>
      <c r="O47" s="51" t="b">
        <v>0</v>
      </c>
      <c r="P47" s="51" t="b">
        <v>0</v>
      </c>
      <c r="Q47" s="51" t="b">
        <v>0</v>
      </c>
      <c r="R47" s="51" t="b">
        <v>0</v>
      </c>
      <c r="S47" s="51" t="b">
        <v>0</v>
      </c>
      <c r="T47" s="51" t="b">
        <v>0</v>
      </c>
      <c r="U47" s="51" t="b">
        <v>0</v>
      </c>
      <c r="V47" s="51" t="b">
        <v>0</v>
      </c>
      <c r="W47" s="51" t="b">
        <v>0</v>
      </c>
      <c r="X47" s="59">
        <v>6</v>
      </c>
    </row>
    <row r="48" spans="1:24" ht="33.75">
      <c r="A48" s="49">
        <f t="shared" si="2"/>
        <v>20</v>
      </c>
      <c r="B48" s="50" t="s">
        <v>103</v>
      </c>
      <c r="C48" s="60">
        <v>3</v>
      </c>
      <c r="D48" s="92" t="b">
        <v>1</v>
      </c>
      <c r="E48" s="93"/>
      <c r="F48" s="51" t="b">
        <v>0</v>
      </c>
      <c r="G48" s="51" t="b">
        <v>0</v>
      </c>
      <c r="H48" s="51" t="b">
        <v>0</v>
      </c>
      <c r="I48" s="51" t="b">
        <v>0</v>
      </c>
      <c r="J48" s="51" t="b">
        <v>0</v>
      </c>
      <c r="K48" s="51" t="b">
        <v>0</v>
      </c>
      <c r="L48" s="51" t="b">
        <v>0</v>
      </c>
      <c r="M48" s="51" t="b">
        <v>0</v>
      </c>
      <c r="N48" s="51" t="b">
        <v>0</v>
      </c>
      <c r="O48" s="51" t="b">
        <v>0</v>
      </c>
      <c r="P48" s="51" t="b">
        <v>0</v>
      </c>
      <c r="Q48" s="51" t="b">
        <v>0</v>
      </c>
      <c r="R48" s="51" t="b">
        <v>0</v>
      </c>
      <c r="S48" s="51" t="b">
        <v>0</v>
      </c>
      <c r="T48" s="51" t="b">
        <v>0</v>
      </c>
      <c r="U48" s="51" t="b">
        <v>0</v>
      </c>
      <c r="V48" s="51" t="b">
        <v>0</v>
      </c>
      <c r="W48" s="51" t="b">
        <v>0</v>
      </c>
      <c r="X48" s="59">
        <v>2</v>
      </c>
    </row>
    <row r="49" spans="1:24" ht="16.5">
      <c r="A49" s="49">
        <f t="shared" si="2"/>
        <v>21</v>
      </c>
      <c r="B49" s="50" t="s">
        <v>104</v>
      </c>
      <c r="C49" s="60">
        <v>3</v>
      </c>
      <c r="D49" s="92" t="b">
        <v>1</v>
      </c>
      <c r="E49" s="93"/>
      <c r="F49" s="51" t="b">
        <v>0</v>
      </c>
      <c r="G49" s="51" t="b">
        <v>0</v>
      </c>
      <c r="H49" s="51" t="b">
        <v>0</v>
      </c>
      <c r="I49" s="51" t="b">
        <v>0</v>
      </c>
      <c r="J49" s="51" t="b">
        <v>0</v>
      </c>
      <c r="K49" s="51" t="b">
        <v>0</v>
      </c>
      <c r="L49" s="51" t="b">
        <v>0</v>
      </c>
      <c r="M49" s="51" t="b">
        <v>0</v>
      </c>
      <c r="N49" s="51" t="b">
        <v>0</v>
      </c>
      <c r="O49" s="51" t="b">
        <v>0</v>
      </c>
      <c r="P49" s="51" t="b">
        <v>0</v>
      </c>
      <c r="Q49" s="51" t="b">
        <v>0</v>
      </c>
      <c r="R49" s="51" t="b">
        <v>0</v>
      </c>
      <c r="S49" s="51" t="b">
        <v>0</v>
      </c>
      <c r="T49" s="51" t="b">
        <v>0</v>
      </c>
      <c r="U49" s="51" t="b">
        <v>0</v>
      </c>
      <c r="V49" s="51" t="b">
        <v>0</v>
      </c>
      <c r="W49" s="51" t="b">
        <v>0</v>
      </c>
      <c r="X49" s="59">
        <v>1</v>
      </c>
    </row>
    <row r="50" spans="1:24" ht="16.5">
      <c r="A50" s="49">
        <f t="shared" si="2"/>
        <v>22</v>
      </c>
      <c r="B50" s="61" t="s">
        <v>105</v>
      </c>
      <c r="C50" s="60">
        <v>3</v>
      </c>
      <c r="D50" s="92" t="b">
        <v>0</v>
      </c>
      <c r="E50" s="93"/>
      <c r="F50" s="51" t="b">
        <v>0</v>
      </c>
      <c r="G50" s="51" t="b">
        <v>0</v>
      </c>
      <c r="H50" s="51" t="b">
        <v>0</v>
      </c>
      <c r="I50" s="51" t="b">
        <v>0</v>
      </c>
      <c r="J50" s="51" t="b">
        <v>0</v>
      </c>
      <c r="K50" s="51" t="b">
        <v>0</v>
      </c>
      <c r="L50" s="51" t="b">
        <v>0</v>
      </c>
      <c r="M50" s="51" t="b">
        <v>0</v>
      </c>
      <c r="N50" s="51" t="b">
        <v>0</v>
      </c>
      <c r="O50" s="51" t="b">
        <v>0</v>
      </c>
      <c r="P50" s="51" t="b">
        <v>0</v>
      </c>
      <c r="Q50" s="51" t="b">
        <v>0</v>
      </c>
      <c r="R50" s="51" t="b">
        <v>0</v>
      </c>
      <c r="S50" s="51" t="b">
        <v>0</v>
      </c>
      <c r="T50" s="51" t="b">
        <v>0</v>
      </c>
      <c r="U50" s="51" t="b">
        <v>0</v>
      </c>
      <c r="V50" s="51" t="b">
        <v>0</v>
      </c>
      <c r="W50" s="51" t="b">
        <v>0</v>
      </c>
      <c r="X50" s="59"/>
    </row>
    <row r="51" spans="1:24" ht="16.5">
      <c r="A51" s="49">
        <f t="shared" si="2"/>
        <v>23</v>
      </c>
      <c r="B51" s="61" t="s">
        <v>106</v>
      </c>
      <c r="C51" s="60">
        <v>3</v>
      </c>
      <c r="D51" s="92" t="b">
        <v>0</v>
      </c>
      <c r="E51" s="93"/>
      <c r="F51" s="51" t="b">
        <v>0</v>
      </c>
      <c r="G51" s="51" t="b">
        <v>0</v>
      </c>
      <c r="H51" s="51" t="b">
        <v>0</v>
      </c>
      <c r="I51" s="51" t="b">
        <v>0</v>
      </c>
      <c r="J51" s="51" t="b">
        <v>0</v>
      </c>
      <c r="K51" s="51" t="b">
        <v>0</v>
      </c>
      <c r="L51" s="51" t="b">
        <v>0</v>
      </c>
      <c r="M51" s="51" t="b">
        <v>0</v>
      </c>
      <c r="N51" s="51" t="b">
        <v>0</v>
      </c>
      <c r="O51" s="51" t="b">
        <v>0</v>
      </c>
      <c r="P51" s="51" t="b">
        <v>0</v>
      </c>
      <c r="Q51" s="51" t="b">
        <v>0</v>
      </c>
      <c r="R51" s="51" t="b">
        <v>0</v>
      </c>
      <c r="S51" s="51" t="b">
        <v>0</v>
      </c>
      <c r="T51" s="51" t="b">
        <v>0</v>
      </c>
      <c r="U51" s="51" t="b">
        <v>0</v>
      </c>
      <c r="V51" s="51" t="b">
        <v>0</v>
      </c>
      <c r="W51" s="51" t="b">
        <v>0</v>
      </c>
      <c r="X51" s="59"/>
    </row>
    <row r="52" spans="1:24" ht="16.5">
      <c r="A52" s="49">
        <f t="shared" si="2"/>
        <v>24</v>
      </c>
      <c r="B52" s="50" t="s">
        <v>107</v>
      </c>
      <c r="C52" s="60">
        <v>3</v>
      </c>
      <c r="D52" s="92" t="b">
        <v>1</v>
      </c>
      <c r="E52" s="93"/>
      <c r="F52" s="51" t="b">
        <v>0</v>
      </c>
      <c r="G52" s="51" t="b">
        <v>0</v>
      </c>
      <c r="H52" s="51" t="b">
        <v>0</v>
      </c>
      <c r="I52" s="51" t="b">
        <v>0</v>
      </c>
      <c r="J52" s="51" t="b">
        <v>0</v>
      </c>
      <c r="K52" s="51" t="b">
        <v>0</v>
      </c>
      <c r="L52" s="51" t="b">
        <v>0</v>
      </c>
      <c r="M52" s="51" t="b">
        <v>0</v>
      </c>
      <c r="N52" s="51" t="b">
        <v>0</v>
      </c>
      <c r="O52" s="51" t="b">
        <v>0</v>
      </c>
      <c r="P52" s="51" t="b">
        <v>0</v>
      </c>
      <c r="Q52" s="51" t="b">
        <v>0</v>
      </c>
      <c r="R52" s="51" t="b">
        <v>0</v>
      </c>
      <c r="S52" s="51" t="b">
        <v>0</v>
      </c>
      <c r="T52" s="51" t="b">
        <v>0</v>
      </c>
      <c r="U52" s="51" t="b">
        <v>0</v>
      </c>
      <c r="V52" s="51" t="b">
        <v>0</v>
      </c>
      <c r="W52" s="51" t="b">
        <v>0</v>
      </c>
      <c r="X52" s="59">
        <v>1</v>
      </c>
    </row>
    <row r="53" spans="1:24" ht="16.5">
      <c r="A53" s="49">
        <f t="shared" si="2"/>
        <v>25</v>
      </c>
      <c r="B53" s="50" t="s">
        <v>108</v>
      </c>
      <c r="C53" s="60">
        <v>1</v>
      </c>
      <c r="D53" s="92" t="b">
        <v>1</v>
      </c>
      <c r="E53" s="93"/>
      <c r="F53" s="51" t="b">
        <v>0</v>
      </c>
      <c r="G53" s="51" t="b">
        <v>0</v>
      </c>
      <c r="H53" s="51" t="b">
        <v>0</v>
      </c>
      <c r="I53" s="51" t="b">
        <v>0</v>
      </c>
      <c r="J53" s="51" t="b">
        <v>0</v>
      </c>
      <c r="K53" s="51" t="b">
        <v>0</v>
      </c>
      <c r="L53" s="51" t="b">
        <v>0</v>
      </c>
      <c r="M53" s="51" t="b">
        <v>0</v>
      </c>
      <c r="N53" s="51" t="b">
        <v>0</v>
      </c>
      <c r="O53" s="51" t="b">
        <v>0</v>
      </c>
      <c r="P53" s="51" t="b">
        <v>0</v>
      </c>
      <c r="Q53" s="51" t="b">
        <v>0</v>
      </c>
      <c r="R53" s="51" t="b">
        <v>0</v>
      </c>
      <c r="S53" s="51" t="b">
        <v>0</v>
      </c>
      <c r="T53" s="51" t="b">
        <v>0</v>
      </c>
      <c r="U53" s="51" t="b">
        <v>0</v>
      </c>
      <c r="V53" s="51" t="b">
        <v>0</v>
      </c>
      <c r="W53" s="51" t="b">
        <v>0</v>
      </c>
      <c r="X53" s="59">
        <v>5</v>
      </c>
    </row>
    <row r="54" spans="1:24" ht="16.5">
      <c r="A54" s="49">
        <f t="shared" si="2"/>
        <v>26</v>
      </c>
      <c r="B54" s="61" t="s">
        <v>109</v>
      </c>
      <c r="C54" s="60">
        <v>2</v>
      </c>
      <c r="D54" s="92" t="b">
        <v>0</v>
      </c>
      <c r="E54" s="93"/>
      <c r="F54" s="51" t="b">
        <v>0</v>
      </c>
      <c r="G54" s="51" t="b">
        <v>0</v>
      </c>
      <c r="H54" s="51" t="b">
        <v>0</v>
      </c>
      <c r="I54" s="51" t="b">
        <v>0</v>
      </c>
      <c r="J54" s="51" t="b">
        <v>0</v>
      </c>
      <c r="K54" s="51" t="b">
        <v>0</v>
      </c>
      <c r="L54" s="51" t="b">
        <v>0</v>
      </c>
      <c r="M54" s="51" t="b">
        <v>0</v>
      </c>
      <c r="N54" s="51" t="b">
        <v>0</v>
      </c>
      <c r="O54" s="51" t="b">
        <v>0</v>
      </c>
      <c r="P54" s="51" t="b">
        <v>0</v>
      </c>
      <c r="Q54" s="51" t="b">
        <v>0</v>
      </c>
      <c r="R54" s="51" t="b">
        <v>0</v>
      </c>
      <c r="S54" s="51" t="b">
        <v>0</v>
      </c>
      <c r="T54" s="51" t="b">
        <v>0</v>
      </c>
      <c r="U54" s="51" t="b">
        <v>0</v>
      </c>
      <c r="V54" s="51" t="b">
        <v>0</v>
      </c>
      <c r="W54" s="51" t="b">
        <v>0</v>
      </c>
      <c r="X54" s="59"/>
    </row>
    <row r="55" spans="1:24" ht="33.75">
      <c r="A55" s="49">
        <f t="shared" si="2"/>
        <v>27</v>
      </c>
      <c r="B55" s="50" t="s">
        <v>110</v>
      </c>
      <c r="C55" s="60">
        <v>3</v>
      </c>
      <c r="D55" s="92" t="b">
        <v>1</v>
      </c>
      <c r="E55" s="93"/>
      <c r="F55" s="51" t="b">
        <v>0</v>
      </c>
      <c r="G55" s="51" t="b">
        <v>0</v>
      </c>
      <c r="H55" s="51" t="b">
        <v>0</v>
      </c>
      <c r="I55" s="51" t="b">
        <v>0</v>
      </c>
      <c r="J55" s="51" t="b">
        <v>0</v>
      </c>
      <c r="K55" s="51" t="b">
        <v>0</v>
      </c>
      <c r="L55" s="51" t="b">
        <v>0</v>
      </c>
      <c r="M55" s="51" t="b">
        <v>0</v>
      </c>
      <c r="N55" s="51" t="b">
        <v>0</v>
      </c>
      <c r="O55" s="51" t="b">
        <v>0</v>
      </c>
      <c r="P55" s="51" t="b">
        <v>0</v>
      </c>
      <c r="Q55" s="51" t="b">
        <v>0</v>
      </c>
      <c r="R55" s="51" t="b">
        <v>0</v>
      </c>
      <c r="S55" s="51" t="b">
        <v>0</v>
      </c>
      <c r="T55" s="51" t="b">
        <v>0</v>
      </c>
      <c r="U55" s="51" t="b">
        <v>0</v>
      </c>
      <c r="V55" s="51" t="b">
        <v>0</v>
      </c>
      <c r="W55" s="51" t="b">
        <v>0</v>
      </c>
      <c r="X55" s="59">
        <v>1</v>
      </c>
    </row>
    <row r="56" spans="1:24" ht="16.5">
      <c r="A56" s="49">
        <f t="shared" si="2"/>
        <v>28</v>
      </c>
      <c r="B56" s="50" t="s">
        <v>111</v>
      </c>
      <c r="C56" s="55">
        <v>1</v>
      </c>
      <c r="D56" s="92" t="b">
        <v>0</v>
      </c>
      <c r="E56" s="93"/>
      <c r="F56" s="51" t="b">
        <v>0</v>
      </c>
      <c r="G56" s="51" t="b">
        <v>0</v>
      </c>
      <c r="H56" s="51" t="b">
        <v>0</v>
      </c>
      <c r="I56" s="51" t="b">
        <v>0</v>
      </c>
      <c r="J56" s="51" t="b">
        <v>0</v>
      </c>
      <c r="K56" s="51" t="b">
        <v>0</v>
      </c>
      <c r="L56" s="51" t="b">
        <v>0</v>
      </c>
      <c r="M56" s="51" t="b">
        <v>0</v>
      </c>
      <c r="N56" s="51" t="b">
        <v>0</v>
      </c>
      <c r="O56" s="51" t="b">
        <v>0</v>
      </c>
      <c r="P56" s="51" t="b">
        <v>0</v>
      </c>
      <c r="Q56" s="51" t="b">
        <v>0</v>
      </c>
      <c r="R56" s="51" t="b">
        <v>0</v>
      </c>
      <c r="S56" s="51" t="b">
        <v>0</v>
      </c>
      <c r="T56" s="51" t="b">
        <v>0</v>
      </c>
      <c r="U56" s="51" t="b">
        <v>0</v>
      </c>
      <c r="V56" s="51" t="b">
        <v>0</v>
      </c>
      <c r="W56" s="51" t="b">
        <v>0</v>
      </c>
      <c r="X56" s="59">
        <v>6</v>
      </c>
    </row>
    <row r="57" spans="1:24" ht="16.5">
      <c r="A57" s="49">
        <f t="shared" si="2"/>
        <v>29</v>
      </c>
      <c r="B57" s="61" t="s">
        <v>112</v>
      </c>
      <c r="C57" s="60">
        <v>3</v>
      </c>
      <c r="D57" s="92" t="b">
        <v>0</v>
      </c>
      <c r="E57" s="94"/>
      <c r="F57" s="51" t="b">
        <v>0</v>
      </c>
      <c r="G57" s="51" t="b">
        <v>0</v>
      </c>
      <c r="H57" s="51" t="b">
        <v>0</v>
      </c>
      <c r="I57" s="51" t="b">
        <v>0</v>
      </c>
      <c r="J57" s="51" t="b">
        <v>0</v>
      </c>
      <c r="K57" s="51" t="b">
        <v>0</v>
      </c>
      <c r="L57" s="51" t="b">
        <v>0</v>
      </c>
      <c r="M57" s="51" t="b">
        <v>0</v>
      </c>
      <c r="N57" s="51" t="b">
        <v>0</v>
      </c>
      <c r="O57" s="51" t="b">
        <v>0</v>
      </c>
      <c r="P57" s="51" t="b">
        <v>0</v>
      </c>
      <c r="Q57" s="51" t="b">
        <v>0</v>
      </c>
      <c r="R57" s="51" t="b">
        <v>0</v>
      </c>
      <c r="S57" s="51" t="b">
        <v>0</v>
      </c>
      <c r="T57" s="51" t="b">
        <v>0</v>
      </c>
      <c r="U57" s="51" t="b">
        <v>0</v>
      </c>
      <c r="V57" s="51" t="b">
        <v>0</v>
      </c>
      <c r="W57" s="51" t="b">
        <v>0</v>
      </c>
      <c r="X57" s="59"/>
    </row>
    <row r="58" spans="1:24" ht="16.5">
      <c r="A58" s="49">
        <f t="shared" si="2"/>
        <v>30</v>
      </c>
      <c r="B58" s="61" t="s">
        <v>113</v>
      </c>
      <c r="C58" s="60">
        <v>3</v>
      </c>
      <c r="D58" s="92" t="b">
        <v>0</v>
      </c>
      <c r="E58" s="94"/>
      <c r="F58" s="51" t="b">
        <v>0</v>
      </c>
      <c r="G58" s="51" t="b">
        <v>0</v>
      </c>
      <c r="H58" s="51" t="b">
        <v>0</v>
      </c>
      <c r="I58" s="51" t="b">
        <v>0</v>
      </c>
      <c r="J58" s="51" t="b">
        <v>0</v>
      </c>
      <c r="K58" s="51" t="b">
        <v>0</v>
      </c>
      <c r="L58" s="51" t="b">
        <v>0</v>
      </c>
      <c r="M58" s="51" t="b">
        <v>0</v>
      </c>
      <c r="N58" s="51" t="b">
        <v>0</v>
      </c>
      <c r="O58" s="51" t="b">
        <v>0</v>
      </c>
      <c r="P58" s="51" t="b">
        <v>0</v>
      </c>
      <c r="Q58" s="51" t="b">
        <v>0</v>
      </c>
      <c r="R58" s="51" t="b">
        <v>0</v>
      </c>
      <c r="S58" s="51" t="b">
        <v>0</v>
      </c>
      <c r="T58" s="51" t="b">
        <v>0</v>
      </c>
      <c r="U58" s="51" t="b">
        <v>0</v>
      </c>
      <c r="V58" s="51" t="b">
        <v>0</v>
      </c>
      <c r="W58" s="51" t="b">
        <v>0</v>
      </c>
      <c r="X58" s="59"/>
    </row>
    <row r="59" spans="1:24" ht="16.5">
      <c r="A59" s="49">
        <f t="shared" si="2"/>
        <v>31</v>
      </c>
      <c r="B59" s="61" t="s">
        <v>114</v>
      </c>
      <c r="C59" s="60">
        <v>3</v>
      </c>
      <c r="D59" s="92" t="b">
        <v>0</v>
      </c>
      <c r="E59" s="94"/>
      <c r="F59" s="51" t="b">
        <v>0</v>
      </c>
      <c r="G59" s="51" t="b">
        <v>0</v>
      </c>
      <c r="H59" s="51" t="b">
        <v>0</v>
      </c>
      <c r="I59" s="51" t="b">
        <v>0</v>
      </c>
      <c r="J59" s="51" t="b">
        <v>0</v>
      </c>
      <c r="K59" s="51" t="b">
        <v>0</v>
      </c>
      <c r="L59" s="51" t="b">
        <v>0</v>
      </c>
      <c r="M59" s="51" t="b">
        <v>0</v>
      </c>
      <c r="N59" s="51" t="b">
        <v>0</v>
      </c>
      <c r="O59" s="51" t="b">
        <v>0</v>
      </c>
      <c r="P59" s="51" t="b">
        <v>0</v>
      </c>
      <c r="Q59" s="51" t="b">
        <v>0</v>
      </c>
      <c r="R59" s="51" t="b">
        <v>0</v>
      </c>
      <c r="S59" s="51" t="b">
        <v>0</v>
      </c>
      <c r="T59" s="51" t="b">
        <v>0</v>
      </c>
      <c r="U59" s="51" t="b">
        <v>0</v>
      </c>
      <c r="V59" s="51" t="b">
        <v>0</v>
      </c>
      <c r="W59" s="51" t="b">
        <v>0</v>
      </c>
      <c r="X59" s="59"/>
    </row>
    <row r="60" spans="1:24" ht="16.5">
      <c r="A60" s="49">
        <f>A59+1</f>
        <v>32</v>
      </c>
      <c r="B60" s="50" t="s">
        <v>115</v>
      </c>
      <c r="C60" s="60">
        <v>1</v>
      </c>
      <c r="D60" s="62" t="b">
        <v>1</v>
      </c>
      <c r="E60" s="63"/>
      <c r="F60" s="51" t="b">
        <v>0</v>
      </c>
      <c r="G60" s="51" t="b">
        <v>0</v>
      </c>
      <c r="H60" s="51" t="b">
        <v>0</v>
      </c>
      <c r="I60" s="51" t="b">
        <v>0</v>
      </c>
      <c r="J60" s="51" t="b">
        <v>0</v>
      </c>
      <c r="K60" s="51" t="b">
        <v>0</v>
      </c>
      <c r="L60" s="51" t="b">
        <v>0</v>
      </c>
      <c r="M60" s="51" t="b">
        <v>0</v>
      </c>
      <c r="N60" s="51" t="b">
        <v>0</v>
      </c>
      <c r="O60" s="51" t="b">
        <v>0</v>
      </c>
      <c r="P60" s="51" t="b">
        <v>0</v>
      </c>
      <c r="Q60" s="51" t="b">
        <v>0</v>
      </c>
      <c r="R60" s="51" t="b">
        <v>0</v>
      </c>
      <c r="S60" s="51" t="b">
        <v>0</v>
      </c>
      <c r="T60" s="51" t="b">
        <v>0</v>
      </c>
      <c r="U60" s="51" t="b">
        <v>0</v>
      </c>
      <c r="V60" s="51" t="b">
        <v>0</v>
      </c>
      <c r="W60" s="51" t="b">
        <v>0</v>
      </c>
      <c r="X60" s="59">
        <v>1.5</v>
      </c>
    </row>
    <row r="61" spans="1:24" ht="16.5">
      <c r="A61" s="53" t="s">
        <v>116</v>
      </c>
      <c r="B61" s="54" t="s">
        <v>117</v>
      </c>
      <c r="C61" s="55"/>
      <c r="D61" s="92" t="b">
        <v>0</v>
      </c>
      <c r="E61" s="93"/>
      <c r="F61" s="56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8"/>
      <c r="X61" s="59"/>
    </row>
    <row r="62" spans="1:24" ht="16.5">
      <c r="A62" s="49">
        <v>1</v>
      </c>
      <c r="B62" s="50" t="s">
        <v>118</v>
      </c>
      <c r="C62" s="60">
        <v>2</v>
      </c>
      <c r="D62" s="92" t="b">
        <v>1</v>
      </c>
      <c r="E62" s="93"/>
      <c r="F62" s="51" t="b">
        <v>0</v>
      </c>
      <c r="G62" s="51" t="b">
        <v>0</v>
      </c>
      <c r="H62" s="51" t="b">
        <v>0</v>
      </c>
      <c r="I62" s="51" t="b">
        <v>0</v>
      </c>
      <c r="J62" s="51" t="b">
        <v>0</v>
      </c>
      <c r="K62" s="51" t="b">
        <v>0</v>
      </c>
      <c r="L62" s="51" t="b">
        <v>0</v>
      </c>
      <c r="M62" s="51" t="b">
        <v>0</v>
      </c>
      <c r="N62" s="51" t="b">
        <v>0</v>
      </c>
      <c r="O62" s="51" t="b">
        <v>0</v>
      </c>
      <c r="P62" s="51" t="b">
        <v>0</v>
      </c>
      <c r="Q62" s="51" t="b">
        <v>0</v>
      </c>
      <c r="R62" s="51" t="b">
        <v>0</v>
      </c>
      <c r="S62" s="51" t="b">
        <v>0</v>
      </c>
      <c r="T62" s="51" t="b">
        <v>0</v>
      </c>
      <c r="U62" s="51" t="b">
        <v>1</v>
      </c>
      <c r="V62" s="51" t="b">
        <v>1</v>
      </c>
      <c r="W62" s="51" t="b">
        <v>1</v>
      </c>
      <c r="X62" s="59">
        <v>0.5</v>
      </c>
    </row>
    <row r="63" spans="1:24" ht="16.5">
      <c r="A63" s="49">
        <f t="shared" ref="A63:A64" si="3">A62+1</f>
        <v>2</v>
      </c>
      <c r="B63" s="50" t="s">
        <v>119</v>
      </c>
      <c r="C63" s="60">
        <v>2</v>
      </c>
      <c r="D63" s="92" t="b">
        <v>1</v>
      </c>
      <c r="E63" s="93"/>
      <c r="F63" s="51" t="b">
        <v>0</v>
      </c>
      <c r="G63" s="51" t="b">
        <v>0</v>
      </c>
      <c r="H63" s="51" t="b">
        <v>0</v>
      </c>
      <c r="I63" s="51" t="b">
        <v>0</v>
      </c>
      <c r="J63" s="51" t="b">
        <v>0</v>
      </c>
      <c r="K63" s="51" t="b">
        <v>0</v>
      </c>
      <c r="L63" s="51" t="b">
        <v>0</v>
      </c>
      <c r="M63" s="51" t="b">
        <v>0</v>
      </c>
      <c r="N63" s="51" t="b">
        <v>0</v>
      </c>
      <c r="O63" s="51" t="b">
        <v>0</v>
      </c>
      <c r="P63" s="51" t="b">
        <v>0</v>
      </c>
      <c r="Q63" s="51" t="b">
        <v>0</v>
      </c>
      <c r="R63" s="51" t="b">
        <v>0</v>
      </c>
      <c r="S63" s="51" t="b">
        <v>0</v>
      </c>
      <c r="T63" s="51" t="b">
        <v>0</v>
      </c>
      <c r="U63" s="51" t="b">
        <v>1</v>
      </c>
      <c r="V63" s="51" t="b">
        <v>1</v>
      </c>
      <c r="W63" s="51" t="b">
        <v>1</v>
      </c>
      <c r="X63" s="59">
        <v>0.5</v>
      </c>
    </row>
    <row r="64" spans="1:24" ht="16.5">
      <c r="A64" s="49">
        <f t="shared" si="3"/>
        <v>3</v>
      </c>
      <c r="B64" s="50" t="s">
        <v>120</v>
      </c>
      <c r="C64" s="60">
        <v>1</v>
      </c>
      <c r="D64" s="92" t="b">
        <v>1</v>
      </c>
      <c r="E64" s="93"/>
      <c r="F64" s="51" t="b">
        <v>0</v>
      </c>
      <c r="G64" s="51" t="b">
        <v>0</v>
      </c>
      <c r="H64" s="51" t="b">
        <v>0</v>
      </c>
      <c r="I64" s="51" t="b">
        <v>0</v>
      </c>
      <c r="J64" s="51" t="b">
        <v>0</v>
      </c>
      <c r="K64" s="51" t="b">
        <v>0</v>
      </c>
      <c r="L64" s="51" t="b">
        <v>0</v>
      </c>
      <c r="M64" s="51" t="b">
        <v>0</v>
      </c>
      <c r="N64" s="51" t="b">
        <v>0</v>
      </c>
      <c r="O64" s="51" t="b">
        <v>0</v>
      </c>
      <c r="P64" s="51" t="b">
        <v>0</v>
      </c>
      <c r="Q64" s="51" t="b">
        <v>0</v>
      </c>
      <c r="R64" s="51" t="b">
        <v>0</v>
      </c>
      <c r="S64" s="51" t="b">
        <v>0</v>
      </c>
      <c r="T64" s="51" t="b">
        <v>0</v>
      </c>
      <c r="U64" s="51" t="b">
        <v>1</v>
      </c>
      <c r="V64" s="51" t="b">
        <v>1</v>
      </c>
      <c r="W64" s="51" t="b">
        <v>1</v>
      </c>
      <c r="X64" s="59">
        <v>1</v>
      </c>
    </row>
    <row r="65" spans="1:24" ht="16.5">
      <c r="A65" s="53" t="s">
        <v>121</v>
      </c>
      <c r="B65" s="54" t="s">
        <v>122</v>
      </c>
      <c r="C65" s="55"/>
      <c r="D65" s="92" t="b">
        <v>1</v>
      </c>
      <c r="E65" s="93"/>
      <c r="F65" s="56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8"/>
      <c r="X65" s="59"/>
    </row>
    <row r="66" spans="1:24" ht="16.5">
      <c r="A66" s="49">
        <v>1</v>
      </c>
      <c r="B66" s="50" t="s">
        <v>123</v>
      </c>
      <c r="C66" s="60"/>
      <c r="D66" s="92" t="b">
        <v>1</v>
      </c>
      <c r="E66" s="93"/>
      <c r="F66" s="51" t="b">
        <v>1</v>
      </c>
      <c r="G66" s="51" t="b">
        <v>0</v>
      </c>
      <c r="H66" s="51" t="b">
        <v>1</v>
      </c>
      <c r="I66" s="51" t="b">
        <v>0</v>
      </c>
      <c r="J66" s="51" t="b">
        <v>1</v>
      </c>
      <c r="K66" s="51" t="b">
        <v>1</v>
      </c>
      <c r="L66" s="51" t="b">
        <v>1</v>
      </c>
      <c r="M66" s="51" t="b">
        <v>0</v>
      </c>
      <c r="N66" s="51" t="b">
        <v>0</v>
      </c>
      <c r="O66" s="51" t="b">
        <v>0</v>
      </c>
      <c r="P66" s="51" t="b">
        <v>0</v>
      </c>
      <c r="Q66" s="51" t="b">
        <v>0</v>
      </c>
      <c r="R66" s="51" t="b">
        <v>0</v>
      </c>
      <c r="S66" s="51" t="b">
        <v>0</v>
      </c>
      <c r="T66" s="51" t="b">
        <v>0</v>
      </c>
      <c r="U66" s="51" t="b">
        <v>0</v>
      </c>
      <c r="V66" s="51" t="b">
        <v>0</v>
      </c>
      <c r="W66" s="51" t="b">
        <v>0</v>
      </c>
      <c r="X66" s="59">
        <v>1</v>
      </c>
    </row>
    <row r="67" spans="1:24" ht="33.75">
      <c r="A67" s="49">
        <f t="shared" ref="A67:A70" si="4">A66+1</f>
        <v>2</v>
      </c>
      <c r="B67" s="50" t="s">
        <v>124</v>
      </c>
      <c r="C67" s="60"/>
      <c r="D67" s="92" t="b">
        <v>1</v>
      </c>
      <c r="E67" s="93"/>
      <c r="F67" s="51" t="b">
        <v>1</v>
      </c>
      <c r="G67" s="51" t="b">
        <v>0</v>
      </c>
      <c r="H67" s="51" t="b">
        <v>1</v>
      </c>
      <c r="I67" s="51" t="b">
        <v>0</v>
      </c>
      <c r="J67" s="51" t="b">
        <v>1</v>
      </c>
      <c r="K67" s="51" t="b">
        <v>1</v>
      </c>
      <c r="L67" s="51" t="b">
        <v>1</v>
      </c>
      <c r="M67" s="51" t="b">
        <v>0</v>
      </c>
      <c r="N67" s="51" t="b">
        <v>0</v>
      </c>
      <c r="O67" s="51" t="b">
        <v>0</v>
      </c>
      <c r="P67" s="51" t="b">
        <v>0</v>
      </c>
      <c r="Q67" s="51" t="b">
        <v>0</v>
      </c>
      <c r="R67" s="51" t="b">
        <v>0</v>
      </c>
      <c r="S67" s="51" t="b">
        <v>0</v>
      </c>
      <c r="T67" s="51" t="b">
        <v>0</v>
      </c>
      <c r="U67" s="51" t="b">
        <v>0</v>
      </c>
      <c r="V67" s="51" t="b">
        <v>0</v>
      </c>
      <c r="W67" s="51" t="b">
        <v>0</v>
      </c>
      <c r="X67" s="59">
        <v>2</v>
      </c>
    </row>
    <row r="68" spans="1:24" ht="16.5">
      <c r="A68" s="49">
        <f t="shared" si="4"/>
        <v>3</v>
      </c>
      <c r="B68" s="50" t="s">
        <v>125</v>
      </c>
      <c r="C68" s="60"/>
      <c r="D68" s="92" t="b">
        <v>1</v>
      </c>
      <c r="E68" s="93"/>
      <c r="F68" s="51" t="b">
        <v>0</v>
      </c>
      <c r="G68" s="51" t="b">
        <v>0</v>
      </c>
      <c r="H68" s="51" t="b">
        <v>0</v>
      </c>
      <c r="I68" s="51" t="b">
        <v>0</v>
      </c>
      <c r="J68" s="51" t="b">
        <v>0</v>
      </c>
      <c r="K68" s="51" t="b">
        <v>0</v>
      </c>
      <c r="L68" s="51" t="b">
        <v>0</v>
      </c>
      <c r="M68" s="51" t="b">
        <v>0</v>
      </c>
      <c r="N68" s="51" t="b">
        <v>0</v>
      </c>
      <c r="O68" s="51" t="b">
        <v>0</v>
      </c>
      <c r="P68" s="51" t="b">
        <v>0</v>
      </c>
      <c r="Q68" s="51" t="b">
        <v>0</v>
      </c>
      <c r="R68" s="51" t="b">
        <v>0</v>
      </c>
      <c r="S68" s="51" t="b">
        <v>0</v>
      </c>
      <c r="T68" s="51" t="b">
        <v>0</v>
      </c>
      <c r="U68" s="51" t="b">
        <v>1</v>
      </c>
      <c r="V68" s="51" t="b">
        <v>1</v>
      </c>
      <c r="W68" s="51" t="b">
        <v>1</v>
      </c>
      <c r="X68" s="59">
        <v>4</v>
      </c>
    </row>
    <row r="69" spans="1:24" ht="16.5">
      <c r="A69" s="49">
        <f t="shared" si="4"/>
        <v>4</v>
      </c>
      <c r="B69" s="50" t="s">
        <v>126</v>
      </c>
      <c r="C69" s="60"/>
      <c r="D69" s="92" t="b">
        <v>1</v>
      </c>
      <c r="E69" s="93"/>
      <c r="F69" s="51" t="b">
        <v>0</v>
      </c>
      <c r="G69" s="51" t="b">
        <v>0</v>
      </c>
      <c r="H69" s="51" t="b">
        <v>0</v>
      </c>
      <c r="I69" s="51" t="b">
        <v>0</v>
      </c>
      <c r="J69" s="51" t="b">
        <v>0</v>
      </c>
      <c r="K69" s="51" t="b">
        <v>0</v>
      </c>
      <c r="L69" s="51" t="b">
        <v>0</v>
      </c>
      <c r="M69" s="51" t="b">
        <v>0</v>
      </c>
      <c r="N69" s="51" t="b">
        <v>0</v>
      </c>
      <c r="O69" s="51" t="b">
        <v>0</v>
      </c>
      <c r="P69" s="51" t="b">
        <v>0</v>
      </c>
      <c r="Q69" s="51" t="b">
        <v>0</v>
      </c>
      <c r="R69" s="51" t="b">
        <v>0</v>
      </c>
      <c r="S69" s="51" t="b">
        <v>0</v>
      </c>
      <c r="T69" s="51" t="b">
        <v>0</v>
      </c>
      <c r="U69" s="51" t="b">
        <v>1</v>
      </c>
      <c r="V69" s="51" t="b">
        <v>1</v>
      </c>
      <c r="W69" s="51" t="b">
        <v>1</v>
      </c>
      <c r="X69" s="59">
        <v>4</v>
      </c>
    </row>
    <row r="70" spans="1:24" ht="16.5">
      <c r="A70" s="49">
        <f t="shared" si="4"/>
        <v>5</v>
      </c>
      <c r="B70" s="50" t="s">
        <v>127</v>
      </c>
      <c r="C70" s="60"/>
      <c r="D70" s="92" t="b">
        <v>1</v>
      </c>
      <c r="E70" s="93"/>
      <c r="F70" s="51" t="b">
        <v>0</v>
      </c>
      <c r="G70" s="51" t="b">
        <v>0</v>
      </c>
      <c r="H70" s="51" t="b">
        <v>0</v>
      </c>
      <c r="I70" s="51" t="b">
        <v>0</v>
      </c>
      <c r="J70" s="51" t="b">
        <v>0</v>
      </c>
      <c r="K70" s="51" t="b">
        <v>0</v>
      </c>
      <c r="L70" s="51" t="b">
        <v>0</v>
      </c>
      <c r="M70" s="51" t="b">
        <v>0</v>
      </c>
      <c r="N70" s="51" t="b">
        <v>0</v>
      </c>
      <c r="O70" s="51" t="b">
        <v>0</v>
      </c>
      <c r="P70" s="51" t="b">
        <v>0</v>
      </c>
      <c r="Q70" s="51" t="b">
        <v>0</v>
      </c>
      <c r="R70" s="51" t="b">
        <v>0</v>
      </c>
      <c r="S70" s="51" t="b">
        <v>0</v>
      </c>
      <c r="T70" s="51" t="b">
        <v>0</v>
      </c>
      <c r="U70" s="51" t="b">
        <v>1</v>
      </c>
      <c r="V70" s="51" t="b">
        <v>1</v>
      </c>
      <c r="W70" s="51" t="b">
        <v>1</v>
      </c>
      <c r="X70" s="59">
        <v>7</v>
      </c>
    </row>
    <row r="71" spans="1:24" ht="16.5">
      <c r="A71" s="53" t="s">
        <v>128</v>
      </c>
      <c r="B71" s="54" t="s">
        <v>129</v>
      </c>
      <c r="C71" s="55"/>
      <c r="D71" s="92" t="b">
        <v>1</v>
      </c>
      <c r="E71" s="93"/>
      <c r="G71" s="56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8"/>
      <c r="X71" s="59"/>
    </row>
    <row r="72" spans="1:24" ht="16.5">
      <c r="A72" s="49">
        <v>1</v>
      </c>
      <c r="B72" s="50" t="s">
        <v>130</v>
      </c>
      <c r="C72" s="60"/>
      <c r="D72" s="92" t="b">
        <v>1</v>
      </c>
      <c r="E72" s="93"/>
      <c r="F72" s="51" t="b">
        <v>0</v>
      </c>
      <c r="G72" s="51" t="b">
        <v>0</v>
      </c>
      <c r="H72" s="51" t="b">
        <v>0</v>
      </c>
      <c r="I72" s="51" t="b">
        <v>0</v>
      </c>
      <c r="J72" s="51" t="b">
        <v>0</v>
      </c>
      <c r="K72" s="51" t="b">
        <v>0</v>
      </c>
      <c r="L72" s="51" t="b">
        <v>0</v>
      </c>
      <c r="M72" s="51" t="b">
        <v>0</v>
      </c>
      <c r="N72" s="51" t="b">
        <v>0</v>
      </c>
      <c r="O72" s="51" t="b">
        <v>0</v>
      </c>
      <c r="P72" s="51" t="b">
        <v>0</v>
      </c>
      <c r="Q72" s="51" t="b">
        <v>0</v>
      </c>
      <c r="R72" s="51" t="b">
        <v>0</v>
      </c>
      <c r="S72" s="51" t="b">
        <v>0</v>
      </c>
      <c r="T72" s="51" t="b">
        <v>0</v>
      </c>
      <c r="U72" s="51" t="b">
        <v>1</v>
      </c>
      <c r="V72" s="51" t="b">
        <v>1</v>
      </c>
      <c r="W72" s="51" t="b">
        <v>1</v>
      </c>
      <c r="X72" s="59">
        <v>1.5</v>
      </c>
    </row>
    <row r="73" spans="1:24" ht="16.5">
      <c r="A73" s="49">
        <f t="shared" ref="A73:A77" si="5">A72+1</f>
        <v>2</v>
      </c>
      <c r="B73" s="50" t="s">
        <v>131</v>
      </c>
      <c r="C73" s="60"/>
      <c r="D73" s="92" t="b">
        <v>1</v>
      </c>
      <c r="E73" s="93"/>
      <c r="F73" s="51" t="b">
        <v>0</v>
      </c>
      <c r="G73" s="51" t="b">
        <v>0</v>
      </c>
      <c r="H73" s="51" t="b">
        <v>0</v>
      </c>
      <c r="I73" s="51" t="b">
        <v>0</v>
      </c>
      <c r="J73" s="51" t="b">
        <v>0</v>
      </c>
      <c r="K73" s="51" t="b">
        <v>0</v>
      </c>
      <c r="L73" s="51" t="b">
        <v>0</v>
      </c>
      <c r="M73" s="51" t="b">
        <v>0</v>
      </c>
      <c r="N73" s="51" t="b">
        <v>0</v>
      </c>
      <c r="O73" s="51" t="b">
        <v>0</v>
      </c>
      <c r="P73" s="51" t="b">
        <v>0</v>
      </c>
      <c r="Q73" s="51" t="b">
        <v>0</v>
      </c>
      <c r="R73" s="51" t="b">
        <v>0</v>
      </c>
      <c r="S73" s="51" t="b">
        <v>0</v>
      </c>
      <c r="T73" s="51" t="b">
        <v>0</v>
      </c>
      <c r="U73" s="51" t="b">
        <v>1</v>
      </c>
      <c r="V73" s="51" t="b">
        <v>1</v>
      </c>
      <c r="W73" s="51" t="b">
        <v>1</v>
      </c>
      <c r="X73" s="59">
        <v>0.5</v>
      </c>
    </row>
    <row r="74" spans="1:24" ht="16.5">
      <c r="A74" s="49">
        <f t="shared" si="5"/>
        <v>3</v>
      </c>
      <c r="B74" s="50" t="s">
        <v>132</v>
      </c>
      <c r="C74" s="60"/>
      <c r="D74" s="92" t="b">
        <v>1</v>
      </c>
      <c r="E74" s="93"/>
      <c r="F74" s="51" t="b">
        <v>1</v>
      </c>
      <c r="G74" s="51" t="b">
        <v>1</v>
      </c>
      <c r="H74" s="51" t="b">
        <v>1</v>
      </c>
      <c r="I74" s="51" t="b">
        <v>0</v>
      </c>
      <c r="J74" s="51" t="b">
        <v>1</v>
      </c>
      <c r="K74" s="51" t="b">
        <v>1</v>
      </c>
      <c r="L74" s="51" t="b">
        <v>0</v>
      </c>
      <c r="M74" s="51" t="b">
        <v>0</v>
      </c>
      <c r="N74" s="51" t="b">
        <v>0</v>
      </c>
      <c r="O74" s="51" t="b">
        <v>0</v>
      </c>
      <c r="P74" s="51" t="b">
        <v>0</v>
      </c>
      <c r="Q74" s="51" t="b">
        <v>0</v>
      </c>
      <c r="R74" s="51" t="b">
        <v>0</v>
      </c>
      <c r="S74" s="51" t="b">
        <v>0</v>
      </c>
      <c r="T74" s="51" t="b">
        <v>0</v>
      </c>
      <c r="U74" s="51" t="b">
        <v>1</v>
      </c>
      <c r="V74" s="51" t="b">
        <v>1</v>
      </c>
      <c r="W74" s="51" t="b">
        <v>1</v>
      </c>
      <c r="X74" s="59">
        <v>1</v>
      </c>
    </row>
    <row r="75" spans="1:24" ht="16.5">
      <c r="A75" s="49">
        <f t="shared" si="5"/>
        <v>4</v>
      </c>
      <c r="B75" s="50" t="s">
        <v>133</v>
      </c>
      <c r="C75" s="60"/>
      <c r="D75" s="92" t="b">
        <v>1</v>
      </c>
      <c r="E75" s="93"/>
      <c r="F75" s="51" t="b">
        <v>1</v>
      </c>
      <c r="G75" s="51" t="b">
        <v>1</v>
      </c>
      <c r="H75" s="51" t="b">
        <v>0</v>
      </c>
      <c r="I75" s="51" t="b">
        <v>0</v>
      </c>
      <c r="J75" s="51" t="b">
        <v>0</v>
      </c>
      <c r="K75" s="51" t="b">
        <v>0</v>
      </c>
      <c r="L75" s="51" t="b">
        <v>0</v>
      </c>
      <c r="M75" s="51" t="b">
        <v>0</v>
      </c>
      <c r="N75" s="51" t="b">
        <v>0</v>
      </c>
      <c r="O75" s="51" t="b">
        <v>0</v>
      </c>
      <c r="P75" s="51" t="b">
        <v>0</v>
      </c>
      <c r="Q75" s="51" t="b">
        <v>0</v>
      </c>
      <c r="R75" s="51" t="b">
        <v>0</v>
      </c>
      <c r="S75" s="51" t="b">
        <v>0</v>
      </c>
      <c r="T75" s="51" t="b">
        <v>0</v>
      </c>
      <c r="U75" s="51" t="b">
        <v>1</v>
      </c>
      <c r="V75" s="51" t="b">
        <v>1</v>
      </c>
      <c r="W75" s="51" t="b">
        <v>1</v>
      </c>
      <c r="X75" s="59">
        <v>1</v>
      </c>
    </row>
    <row r="76" spans="1:24" ht="16.5">
      <c r="A76" s="49">
        <f t="shared" si="5"/>
        <v>5</v>
      </c>
      <c r="B76" s="50" t="s">
        <v>134</v>
      </c>
      <c r="C76" s="60"/>
      <c r="D76" s="92" t="b">
        <v>1</v>
      </c>
      <c r="E76" s="93"/>
      <c r="F76" s="51" t="b">
        <v>1</v>
      </c>
      <c r="G76" s="51" t="b">
        <v>1</v>
      </c>
      <c r="H76" s="51" t="b">
        <v>1</v>
      </c>
      <c r="I76" s="51" t="b">
        <v>0</v>
      </c>
      <c r="J76" s="51" t="b">
        <v>1</v>
      </c>
      <c r="K76" s="51" t="b">
        <v>1</v>
      </c>
      <c r="L76" s="51" t="b">
        <v>0</v>
      </c>
      <c r="M76" s="51" t="b">
        <v>0</v>
      </c>
      <c r="N76" s="51" t="b">
        <v>0</v>
      </c>
      <c r="O76" s="51" t="b">
        <v>0</v>
      </c>
      <c r="P76" s="51" t="b">
        <v>0</v>
      </c>
      <c r="Q76" s="51" t="b">
        <v>0</v>
      </c>
      <c r="R76" s="51" t="b">
        <v>0</v>
      </c>
      <c r="S76" s="51" t="b">
        <v>0</v>
      </c>
      <c r="T76" s="51" t="b">
        <v>0</v>
      </c>
      <c r="U76" s="51" t="b">
        <v>1</v>
      </c>
      <c r="V76" s="51" t="b">
        <v>1</v>
      </c>
      <c r="W76" s="51" t="b">
        <v>1</v>
      </c>
      <c r="X76" s="59">
        <v>3</v>
      </c>
    </row>
    <row r="77" spans="1:24" ht="16.5">
      <c r="A77" s="49">
        <f t="shared" si="5"/>
        <v>6</v>
      </c>
      <c r="B77" s="50" t="s">
        <v>135</v>
      </c>
      <c r="C77" s="60"/>
      <c r="D77" s="92" t="b">
        <v>1</v>
      </c>
      <c r="E77" s="93"/>
      <c r="F77" s="51" t="b">
        <v>1</v>
      </c>
      <c r="G77" s="51" t="b">
        <v>0</v>
      </c>
      <c r="H77" s="51" t="b">
        <v>0</v>
      </c>
      <c r="I77" s="51" t="b">
        <v>0</v>
      </c>
      <c r="J77" s="51" t="b">
        <v>0</v>
      </c>
      <c r="K77" s="51" t="b">
        <v>0</v>
      </c>
      <c r="L77" s="51" t="b">
        <v>0</v>
      </c>
      <c r="M77" s="51" t="b">
        <v>0</v>
      </c>
      <c r="N77" s="51" t="b">
        <v>0</v>
      </c>
      <c r="O77" s="51" t="b">
        <v>0</v>
      </c>
      <c r="P77" s="51" t="b">
        <v>0</v>
      </c>
      <c r="Q77" s="51" t="b">
        <v>0</v>
      </c>
      <c r="R77" s="51" t="b">
        <v>0</v>
      </c>
      <c r="S77" s="51" t="b">
        <v>0</v>
      </c>
      <c r="T77" s="51" t="b">
        <v>0</v>
      </c>
      <c r="U77" s="51" t="b">
        <v>1</v>
      </c>
      <c r="V77" s="51" t="b">
        <v>1</v>
      </c>
      <c r="W77" s="51" t="b">
        <v>1</v>
      </c>
      <c r="X77" s="59">
        <v>2</v>
      </c>
    </row>
    <row r="78" spans="1:24" ht="16.5">
      <c r="A78" s="53" t="s">
        <v>136</v>
      </c>
      <c r="B78" s="54" t="s">
        <v>137</v>
      </c>
      <c r="C78" s="55"/>
      <c r="D78" s="92" t="b">
        <v>1</v>
      </c>
      <c r="E78" s="93"/>
      <c r="F78" s="56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8"/>
      <c r="X78" s="59"/>
    </row>
    <row r="79" spans="1:24" ht="16.5">
      <c r="A79" s="49">
        <v>1</v>
      </c>
      <c r="B79" s="50" t="s">
        <v>138</v>
      </c>
      <c r="C79" s="60"/>
      <c r="D79" s="92" t="b">
        <v>1</v>
      </c>
      <c r="E79" s="93"/>
      <c r="F79" s="51" t="b">
        <v>1</v>
      </c>
      <c r="G79" s="51" t="b">
        <v>0</v>
      </c>
      <c r="H79" s="51" t="b">
        <v>0</v>
      </c>
      <c r="I79" s="51" t="b">
        <v>0</v>
      </c>
      <c r="J79" s="51" t="b">
        <v>0</v>
      </c>
      <c r="K79" s="51" t="b">
        <v>0</v>
      </c>
      <c r="L79" s="51" t="b">
        <v>0</v>
      </c>
      <c r="M79" s="51" t="b">
        <v>0</v>
      </c>
      <c r="N79" s="51" t="b">
        <v>0</v>
      </c>
      <c r="O79" s="51" t="b">
        <v>0</v>
      </c>
      <c r="P79" s="51" t="b">
        <v>0</v>
      </c>
      <c r="Q79" s="51" t="b">
        <v>0</v>
      </c>
      <c r="R79" s="51" t="b">
        <v>0</v>
      </c>
      <c r="S79" s="51" t="b">
        <v>0</v>
      </c>
      <c r="T79" s="51" t="b">
        <v>0</v>
      </c>
      <c r="U79" s="51" t="b">
        <v>1</v>
      </c>
      <c r="V79" s="51" t="b">
        <v>1</v>
      </c>
      <c r="W79" s="51" t="b">
        <v>1</v>
      </c>
      <c r="X79" s="59">
        <v>1</v>
      </c>
    </row>
    <row r="80" spans="1:24" ht="16.5">
      <c r="A80" s="49">
        <f t="shared" ref="A80:A83" si="6">A79+1</f>
        <v>2</v>
      </c>
      <c r="B80" s="50" t="s">
        <v>139</v>
      </c>
      <c r="C80" s="60"/>
      <c r="D80" s="92" t="b">
        <v>1</v>
      </c>
      <c r="E80" s="93"/>
      <c r="F80" s="51" t="b">
        <v>1</v>
      </c>
      <c r="G80" s="51" t="b">
        <v>0</v>
      </c>
      <c r="H80" s="51" t="b">
        <v>0</v>
      </c>
      <c r="I80" s="51" t="b">
        <v>0</v>
      </c>
      <c r="J80" s="51" t="b">
        <v>0</v>
      </c>
      <c r="K80" s="51" t="b">
        <v>0</v>
      </c>
      <c r="L80" s="51" t="b">
        <v>0</v>
      </c>
      <c r="M80" s="51" t="b">
        <v>0</v>
      </c>
      <c r="N80" s="51" t="b">
        <v>0</v>
      </c>
      <c r="O80" s="51" t="b">
        <v>0</v>
      </c>
      <c r="P80" s="51" t="b">
        <v>0</v>
      </c>
      <c r="Q80" s="51" t="b">
        <v>0</v>
      </c>
      <c r="R80" s="51" t="b">
        <v>0</v>
      </c>
      <c r="S80" s="51" t="b">
        <v>0</v>
      </c>
      <c r="T80" s="51" t="b">
        <v>0</v>
      </c>
      <c r="U80" s="51" t="b">
        <v>1</v>
      </c>
      <c r="V80" s="51" t="b">
        <v>1</v>
      </c>
      <c r="W80" s="51" t="b">
        <v>1</v>
      </c>
      <c r="X80" s="59">
        <v>1</v>
      </c>
    </row>
    <row r="81" spans="1:25" ht="16.5">
      <c r="A81" s="49">
        <f t="shared" si="6"/>
        <v>3</v>
      </c>
      <c r="B81" s="50" t="s">
        <v>140</v>
      </c>
      <c r="C81" s="60"/>
      <c r="D81" s="92" t="b">
        <v>0</v>
      </c>
      <c r="E81" s="93"/>
      <c r="F81" s="51" t="b">
        <v>0</v>
      </c>
      <c r="G81" s="51" t="b">
        <v>0</v>
      </c>
      <c r="H81" s="51" t="b">
        <v>0</v>
      </c>
      <c r="I81" s="51" t="b">
        <v>0</v>
      </c>
      <c r="J81" s="51" t="b">
        <v>0</v>
      </c>
      <c r="K81" s="51" t="b">
        <v>0</v>
      </c>
      <c r="L81" s="51" t="b">
        <v>0</v>
      </c>
      <c r="M81" s="51" t="b">
        <v>0</v>
      </c>
      <c r="N81" s="51" t="b">
        <v>0</v>
      </c>
      <c r="O81" s="51" t="b">
        <v>0</v>
      </c>
      <c r="P81" s="51" t="b">
        <v>0</v>
      </c>
      <c r="Q81" s="51" t="b">
        <v>0</v>
      </c>
      <c r="R81" s="51" t="b">
        <v>0</v>
      </c>
      <c r="S81" s="51" t="b">
        <v>0</v>
      </c>
      <c r="T81" s="51" t="b">
        <v>0</v>
      </c>
      <c r="U81" s="51" t="b">
        <v>0</v>
      </c>
      <c r="V81" s="51" t="b">
        <v>0</v>
      </c>
      <c r="W81" s="51" t="b">
        <v>0</v>
      </c>
      <c r="X81" s="59"/>
    </row>
    <row r="82" spans="1:25" ht="16.5">
      <c r="A82" s="49">
        <f t="shared" si="6"/>
        <v>4</v>
      </c>
      <c r="B82" s="50" t="s">
        <v>141</v>
      </c>
      <c r="C82" s="60"/>
      <c r="D82" s="92" t="b">
        <v>0</v>
      </c>
      <c r="E82" s="93"/>
      <c r="F82" s="51" t="b">
        <v>0</v>
      </c>
      <c r="G82" s="51" t="b">
        <v>0</v>
      </c>
      <c r="H82" s="51" t="b">
        <v>0</v>
      </c>
      <c r="I82" s="51" t="b">
        <v>0</v>
      </c>
      <c r="J82" s="51" t="b">
        <v>0</v>
      </c>
      <c r="K82" s="51" t="b">
        <v>0</v>
      </c>
      <c r="L82" s="51" t="b">
        <v>0</v>
      </c>
      <c r="M82" s="51" t="b">
        <v>0</v>
      </c>
      <c r="N82" s="51" t="b">
        <v>0</v>
      </c>
      <c r="O82" s="51" t="b">
        <v>0</v>
      </c>
      <c r="P82" s="51" t="b">
        <v>0</v>
      </c>
      <c r="Q82" s="51" t="b">
        <v>0</v>
      </c>
      <c r="R82" s="51" t="b">
        <v>0</v>
      </c>
      <c r="S82" s="51" t="b">
        <v>0</v>
      </c>
      <c r="T82" s="51" t="b">
        <v>0</v>
      </c>
      <c r="U82" s="51" t="b">
        <v>0</v>
      </c>
      <c r="V82" s="51" t="b">
        <v>0</v>
      </c>
      <c r="W82" s="51" t="b">
        <v>0</v>
      </c>
      <c r="X82" s="59"/>
    </row>
    <row r="83" spans="1:25" ht="16.5">
      <c r="A83" s="49">
        <f t="shared" si="6"/>
        <v>5</v>
      </c>
      <c r="B83" s="50" t="s">
        <v>142</v>
      </c>
      <c r="C83" s="60"/>
      <c r="D83" s="92" t="b">
        <v>0</v>
      </c>
      <c r="E83" s="93"/>
      <c r="F83" s="51" t="b">
        <v>0</v>
      </c>
      <c r="G83" s="51" t="b">
        <v>0</v>
      </c>
      <c r="H83" s="51" t="b">
        <v>0</v>
      </c>
      <c r="I83" s="51" t="b">
        <v>0</v>
      </c>
      <c r="J83" s="51" t="b">
        <v>0</v>
      </c>
      <c r="K83" s="51" t="b">
        <v>0</v>
      </c>
      <c r="L83" s="51" t="b">
        <v>0</v>
      </c>
      <c r="M83" s="51" t="b">
        <v>0</v>
      </c>
      <c r="N83" s="51" t="b">
        <v>0</v>
      </c>
      <c r="O83" s="51" t="b">
        <v>0</v>
      </c>
      <c r="P83" s="51" t="b">
        <v>0</v>
      </c>
      <c r="Q83" s="51" t="b">
        <v>0</v>
      </c>
      <c r="R83" s="51" t="b">
        <v>0</v>
      </c>
      <c r="S83" s="51" t="b">
        <v>0</v>
      </c>
      <c r="T83" s="51" t="b">
        <v>0</v>
      </c>
      <c r="U83" s="51" t="b">
        <v>0</v>
      </c>
      <c r="V83" s="51" t="b">
        <v>0</v>
      </c>
      <c r="W83" s="51" t="b">
        <v>0</v>
      </c>
      <c r="X83" s="64"/>
    </row>
    <row r="84" spans="1:25">
      <c r="A84" s="65"/>
      <c r="B84" s="65"/>
      <c r="C84" s="66"/>
      <c r="D84" s="95"/>
      <c r="E84" s="95"/>
      <c r="X84" s="59">
        <f>SUM(X5:X83)</f>
        <v>94.5</v>
      </c>
      <c r="Y84" s="9">
        <f>SUM(Y5:Y83)</f>
        <v>0</v>
      </c>
    </row>
    <row r="85" spans="1:25" ht="14.25">
      <c r="A85" s="65"/>
      <c r="B85" s="65"/>
      <c r="C85" s="66"/>
      <c r="D85" s="95"/>
      <c r="E85" s="95"/>
    </row>
    <row r="86" spans="1:25">
      <c r="A86" s="65"/>
      <c r="B86" s="65"/>
      <c r="C86" s="66"/>
      <c r="D86" s="95"/>
      <c r="E86" s="95"/>
      <c r="T86" s="67" t="s">
        <v>143</v>
      </c>
      <c r="V86" s="67"/>
      <c r="X86" s="67" t="s">
        <v>144</v>
      </c>
    </row>
    <row r="87" spans="1:25">
      <c r="A87" s="65"/>
      <c r="B87" s="65"/>
      <c r="C87" s="66"/>
      <c r="T87" s="67" t="s">
        <v>145</v>
      </c>
      <c r="V87" s="67"/>
      <c r="X87" s="67" t="s">
        <v>146</v>
      </c>
    </row>
    <row r="88" spans="1:25">
      <c r="A88" s="65"/>
      <c r="B88" s="65"/>
      <c r="C88" s="66"/>
      <c r="T88" s="67" t="s">
        <v>147</v>
      </c>
      <c r="V88" s="67"/>
      <c r="X88" s="67" t="s">
        <v>148</v>
      </c>
    </row>
    <row r="89" spans="1:25" ht="14.25">
      <c r="A89" s="65"/>
      <c r="B89" s="65"/>
      <c r="C89" s="66"/>
      <c r="D89" s="95"/>
      <c r="E89" s="95"/>
    </row>
    <row r="90" spans="1:25">
      <c r="A90" s="65"/>
      <c r="B90" s="65"/>
      <c r="C90" s="66"/>
      <c r="D90" s="95"/>
      <c r="E90" s="95"/>
      <c r="T90" s="67" t="s">
        <v>149</v>
      </c>
      <c r="X90" s="67"/>
    </row>
    <row r="91" spans="1:25">
      <c r="A91" s="65"/>
      <c r="B91" s="65"/>
      <c r="C91" s="66"/>
      <c r="D91" s="95"/>
      <c r="E91" s="95"/>
      <c r="T91" s="67" t="s">
        <v>150</v>
      </c>
      <c r="X91" s="67"/>
    </row>
    <row r="92" spans="1:25" ht="14.25">
      <c r="A92" s="65"/>
      <c r="B92" s="65"/>
      <c r="C92" s="66"/>
      <c r="D92" s="95"/>
      <c r="E92" s="95"/>
    </row>
    <row r="93" spans="1:25" ht="14.25">
      <c r="A93" s="65"/>
      <c r="B93" s="65"/>
      <c r="C93" s="66"/>
      <c r="D93" s="95"/>
      <c r="E93" s="95"/>
    </row>
    <row r="94" spans="1:25" ht="14.25">
      <c r="A94" s="65"/>
      <c r="B94" s="65"/>
      <c r="C94" s="66"/>
      <c r="D94" s="95"/>
      <c r="E94" s="95"/>
    </row>
    <row r="95" spans="1:25" ht="14.25">
      <c r="A95" s="65"/>
      <c r="B95" s="65"/>
      <c r="C95" s="66"/>
      <c r="D95" s="95"/>
      <c r="E95" s="95"/>
    </row>
    <row r="96" spans="1:25" ht="14.25">
      <c r="A96" s="65"/>
      <c r="B96" s="65"/>
      <c r="C96" s="66"/>
      <c r="D96" s="95"/>
      <c r="E96" s="95"/>
    </row>
    <row r="97" spans="1:5" ht="14.25">
      <c r="A97" s="65"/>
      <c r="B97" s="65"/>
      <c r="C97" s="66"/>
      <c r="D97" s="95"/>
      <c r="E97" s="95"/>
    </row>
    <row r="98" spans="1:5" ht="14.25">
      <c r="A98" s="65"/>
      <c r="B98" s="65"/>
      <c r="C98" s="66"/>
      <c r="D98" s="95"/>
      <c r="E98" s="95"/>
    </row>
    <row r="99" spans="1:5" ht="14.25">
      <c r="A99" s="65"/>
      <c r="B99" s="65"/>
      <c r="C99" s="66"/>
      <c r="D99" s="95"/>
      <c r="E99" s="95"/>
    </row>
    <row r="100" spans="1:5" ht="14.25">
      <c r="A100" s="65"/>
      <c r="B100" s="65"/>
      <c r="C100" s="66"/>
      <c r="D100" s="95"/>
      <c r="E100" s="95"/>
    </row>
    <row r="101" spans="1:5" ht="14.25">
      <c r="A101" s="65"/>
      <c r="B101" s="65"/>
      <c r="C101" s="66"/>
      <c r="D101" s="95"/>
      <c r="E101" s="95"/>
    </row>
    <row r="102" spans="1:5" ht="14.25">
      <c r="A102" s="65"/>
      <c r="B102" s="65"/>
      <c r="C102" s="66"/>
      <c r="D102" s="95"/>
      <c r="E102" s="95"/>
    </row>
    <row r="103" spans="1:5" ht="14.25">
      <c r="A103" s="65"/>
      <c r="B103" s="65"/>
      <c r="C103" s="66"/>
      <c r="D103" s="95"/>
      <c r="E103" s="95"/>
    </row>
    <row r="104" spans="1:5" ht="14.25">
      <c r="A104" s="65"/>
      <c r="B104" s="65"/>
      <c r="C104" s="66"/>
      <c r="D104" s="95"/>
      <c r="E104" s="95"/>
    </row>
    <row r="105" spans="1:5" ht="14.25">
      <c r="A105" s="65"/>
      <c r="B105" s="65"/>
      <c r="C105" s="66"/>
      <c r="D105" s="95"/>
      <c r="E105" s="95"/>
    </row>
    <row r="106" spans="1:5" ht="14.25">
      <c r="A106" s="65"/>
      <c r="B106" s="65"/>
      <c r="C106" s="66"/>
      <c r="D106" s="95"/>
      <c r="E106" s="95"/>
    </row>
    <row r="107" spans="1:5" ht="14.25">
      <c r="A107" s="65"/>
      <c r="B107" s="65"/>
      <c r="C107" s="66"/>
      <c r="D107" s="95"/>
      <c r="E107" s="95"/>
    </row>
    <row r="108" spans="1:5" ht="14.25">
      <c r="A108" s="65"/>
      <c r="B108" s="65"/>
      <c r="C108" s="66"/>
      <c r="D108" s="95"/>
      <c r="E108" s="95"/>
    </row>
    <row r="109" spans="1:5" ht="14.25">
      <c r="A109" s="65"/>
      <c r="B109" s="65"/>
      <c r="C109" s="66"/>
      <c r="D109" s="95"/>
      <c r="E109" s="95"/>
    </row>
    <row r="110" spans="1:5" ht="14.25">
      <c r="A110" s="65"/>
      <c r="B110" s="65"/>
      <c r="C110" s="66"/>
      <c r="D110" s="95"/>
      <c r="E110" s="95"/>
    </row>
    <row r="111" spans="1:5" ht="14.25">
      <c r="A111" s="65"/>
      <c r="B111" s="65"/>
      <c r="C111" s="66"/>
      <c r="D111" s="95"/>
      <c r="E111" s="95"/>
    </row>
    <row r="112" spans="1:5" ht="14.25">
      <c r="A112" s="65"/>
      <c r="B112" s="65"/>
      <c r="C112" s="66"/>
      <c r="D112" s="95"/>
      <c r="E112" s="95"/>
    </row>
    <row r="113" spans="1:5" ht="14.25">
      <c r="A113" s="65"/>
      <c r="B113" s="65"/>
      <c r="C113" s="66"/>
      <c r="D113" s="95"/>
      <c r="E113" s="95"/>
    </row>
    <row r="114" spans="1:5" ht="14.25">
      <c r="A114" s="65"/>
      <c r="B114" s="65"/>
      <c r="C114" s="66"/>
      <c r="D114" s="95"/>
      <c r="E114" s="95"/>
    </row>
    <row r="115" spans="1:5" ht="14.25">
      <c r="A115" s="65"/>
      <c r="B115" s="65"/>
      <c r="C115" s="66"/>
      <c r="D115" s="95"/>
      <c r="E115" s="95"/>
    </row>
    <row r="116" spans="1:5" ht="14.25">
      <c r="A116" s="65"/>
      <c r="B116" s="65"/>
      <c r="C116" s="66"/>
      <c r="D116" s="95"/>
      <c r="E116" s="95"/>
    </row>
    <row r="117" spans="1:5" ht="14.25">
      <c r="A117" s="65"/>
      <c r="B117" s="65"/>
      <c r="C117" s="66"/>
      <c r="D117" s="95"/>
      <c r="E117" s="95"/>
    </row>
    <row r="118" spans="1:5" ht="14.25">
      <c r="A118" s="65"/>
      <c r="B118" s="65"/>
      <c r="C118" s="66"/>
      <c r="D118" s="95"/>
      <c r="E118" s="95"/>
    </row>
    <row r="119" spans="1:5" ht="14.25">
      <c r="A119" s="65"/>
      <c r="B119" s="65"/>
      <c r="C119" s="66"/>
      <c r="D119" s="95"/>
      <c r="E119" s="95"/>
    </row>
    <row r="120" spans="1:5" ht="14.25">
      <c r="A120" s="65"/>
      <c r="B120" s="65"/>
      <c r="C120" s="66"/>
      <c r="D120" s="95"/>
      <c r="E120" s="95"/>
    </row>
    <row r="121" spans="1:5" ht="14.25">
      <c r="A121" s="65"/>
      <c r="B121" s="65"/>
      <c r="C121" s="66"/>
      <c r="D121" s="95"/>
      <c r="E121" s="95"/>
    </row>
    <row r="122" spans="1:5" ht="14.25">
      <c r="A122" s="65"/>
      <c r="B122" s="65"/>
      <c r="C122" s="66"/>
      <c r="D122" s="95"/>
      <c r="E122" s="95"/>
    </row>
    <row r="123" spans="1:5" ht="14.25">
      <c r="A123" s="65"/>
      <c r="B123" s="65"/>
      <c r="C123" s="66"/>
      <c r="D123" s="95"/>
      <c r="E123" s="95"/>
    </row>
    <row r="124" spans="1:5" ht="14.25">
      <c r="A124" s="65"/>
      <c r="B124" s="65"/>
      <c r="C124" s="66"/>
      <c r="D124" s="95"/>
      <c r="E124" s="95"/>
    </row>
    <row r="125" spans="1:5" ht="14.25">
      <c r="A125" s="65"/>
      <c r="B125" s="65"/>
      <c r="C125" s="66"/>
      <c r="D125" s="95"/>
      <c r="E125" s="95"/>
    </row>
    <row r="126" spans="1:5" ht="14.25">
      <c r="A126" s="65"/>
      <c r="B126" s="65"/>
      <c r="C126" s="66"/>
      <c r="D126" s="95"/>
      <c r="E126" s="95"/>
    </row>
    <row r="127" spans="1:5" ht="14.25">
      <c r="A127" s="65"/>
      <c r="B127" s="65"/>
      <c r="C127" s="66"/>
      <c r="D127" s="95"/>
      <c r="E127" s="95"/>
    </row>
    <row r="128" spans="1:5" ht="14.25">
      <c r="A128" s="65"/>
      <c r="B128" s="65"/>
      <c r="C128" s="66"/>
      <c r="D128" s="95"/>
      <c r="E128" s="95"/>
    </row>
    <row r="129" spans="1:5" ht="14.25">
      <c r="A129" s="65"/>
      <c r="B129" s="65"/>
      <c r="C129" s="66"/>
      <c r="D129" s="95"/>
      <c r="E129" s="95"/>
    </row>
    <row r="130" spans="1:5" ht="14.25">
      <c r="A130" s="65"/>
      <c r="B130" s="65"/>
      <c r="C130" s="66"/>
      <c r="D130" s="95"/>
      <c r="E130" s="95"/>
    </row>
    <row r="131" spans="1:5" ht="14.25">
      <c r="A131" s="65"/>
      <c r="B131" s="65"/>
      <c r="C131" s="66"/>
      <c r="D131" s="95"/>
      <c r="E131" s="95"/>
    </row>
    <row r="132" spans="1:5" ht="14.25">
      <c r="A132" s="65"/>
      <c r="B132" s="65"/>
      <c r="C132" s="66"/>
      <c r="D132" s="95"/>
      <c r="E132" s="95"/>
    </row>
    <row r="133" spans="1:5" ht="14.25">
      <c r="A133" s="65"/>
      <c r="B133" s="65"/>
      <c r="C133" s="66"/>
    </row>
    <row r="134" spans="1:5" ht="14.25">
      <c r="A134" s="65"/>
      <c r="B134" s="65"/>
      <c r="C134" s="66"/>
    </row>
    <row r="135" spans="1:5" ht="14.25">
      <c r="A135" s="65"/>
      <c r="B135" s="65"/>
      <c r="C135" s="66"/>
    </row>
    <row r="136" spans="1:5" ht="14.25">
      <c r="A136" s="65"/>
      <c r="B136" s="65"/>
      <c r="C136" s="66"/>
    </row>
    <row r="137" spans="1:5" ht="14.25">
      <c r="A137" s="65"/>
      <c r="B137" s="65"/>
      <c r="C137" s="66"/>
    </row>
    <row r="138" spans="1:5" ht="14.25">
      <c r="A138" s="65"/>
      <c r="B138" s="65"/>
      <c r="C138" s="66"/>
    </row>
    <row r="139" spans="1:5" ht="14.25">
      <c r="A139" s="65"/>
      <c r="B139" s="65"/>
      <c r="C139" s="66"/>
    </row>
    <row r="140" spans="1:5" ht="14.25">
      <c r="A140" s="65"/>
      <c r="B140" s="65"/>
      <c r="C140" s="66"/>
    </row>
    <row r="141" spans="1:5" ht="14.25">
      <c r="A141" s="65"/>
      <c r="B141" s="65"/>
      <c r="C141" s="66"/>
    </row>
    <row r="142" spans="1:5" ht="14.25">
      <c r="A142" s="65"/>
      <c r="B142" s="65"/>
      <c r="C142" s="66"/>
    </row>
    <row r="143" spans="1:5" ht="14.25">
      <c r="A143" s="65"/>
      <c r="B143" s="65"/>
      <c r="C143" s="66"/>
    </row>
    <row r="144" spans="1:5" ht="14.25">
      <c r="A144" s="65"/>
      <c r="B144" s="65"/>
      <c r="C144" s="66"/>
    </row>
    <row r="145" spans="1:3" ht="14.25">
      <c r="A145" s="65"/>
      <c r="B145" s="65"/>
      <c r="C145" s="66"/>
    </row>
    <row r="146" spans="1:3" ht="14.25">
      <c r="A146" s="65"/>
      <c r="B146" s="65"/>
      <c r="C146" s="66"/>
    </row>
    <row r="147" spans="1:3" ht="14.25">
      <c r="A147" s="65"/>
      <c r="B147" s="65"/>
      <c r="C147" s="66"/>
    </row>
    <row r="148" spans="1:3" ht="14.25">
      <c r="A148" s="65"/>
      <c r="B148" s="65"/>
      <c r="C148" s="66"/>
    </row>
    <row r="149" spans="1:3" ht="14.25">
      <c r="A149" s="65"/>
      <c r="B149" s="65"/>
      <c r="C149" s="66"/>
    </row>
    <row r="150" spans="1:3" ht="14.25">
      <c r="A150" s="65"/>
      <c r="B150" s="65"/>
      <c r="C150" s="66"/>
    </row>
    <row r="151" spans="1:3" ht="14.25">
      <c r="A151" s="65"/>
      <c r="B151" s="65"/>
      <c r="C151" s="66"/>
    </row>
    <row r="152" spans="1:3" ht="14.25">
      <c r="A152" s="65"/>
      <c r="B152" s="65"/>
      <c r="C152" s="66"/>
    </row>
    <row r="153" spans="1:3" ht="14.25">
      <c r="A153" s="65"/>
      <c r="B153" s="65"/>
      <c r="C153" s="66"/>
    </row>
    <row r="154" spans="1:3" ht="14.25">
      <c r="A154" s="65"/>
      <c r="B154" s="65"/>
      <c r="C154" s="66"/>
    </row>
    <row r="155" spans="1:3" ht="14.25">
      <c r="A155" s="65"/>
      <c r="B155" s="65"/>
      <c r="C155" s="66"/>
    </row>
    <row r="156" spans="1:3" ht="14.25">
      <c r="A156" s="65"/>
      <c r="B156" s="65"/>
      <c r="C156" s="66"/>
    </row>
    <row r="157" spans="1:3" ht="14.25">
      <c r="A157" s="65"/>
      <c r="B157" s="65"/>
      <c r="C157" s="66"/>
    </row>
    <row r="158" spans="1:3" ht="14.25">
      <c r="A158" s="65"/>
      <c r="B158" s="65"/>
      <c r="C158" s="66"/>
    </row>
    <row r="159" spans="1:3" ht="14.25">
      <c r="A159" s="65"/>
      <c r="B159" s="65"/>
      <c r="C159" s="66"/>
    </row>
    <row r="160" spans="1:3" ht="14.25">
      <c r="A160" s="65"/>
      <c r="B160" s="65"/>
      <c r="C160" s="66"/>
    </row>
    <row r="161" spans="1:3" ht="14.25">
      <c r="A161" s="65"/>
      <c r="B161" s="65"/>
      <c r="C161" s="66"/>
    </row>
    <row r="162" spans="1:3" ht="14.25">
      <c r="A162" s="65"/>
      <c r="B162" s="65"/>
      <c r="C162" s="66"/>
    </row>
    <row r="163" spans="1:3" ht="14.25">
      <c r="A163" s="65"/>
      <c r="B163" s="65"/>
      <c r="C163" s="66"/>
    </row>
    <row r="164" spans="1:3" ht="14.25">
      <c r="A164" s="65"/>
      <c r="B164" s="65"/>
      <c r="C164" s="66"/>
    </row>
    <row r="165" spans="1:3" ht="14.25">
      <c r="A165" s="65"/>
      <c r="B165" s="65"/>
      <c r="C165" s="66"/>
    </row>
    <row r="166" spans="1:3" ht="14.25">
      <c r="A166" s="65"/>
      <c r="B166" s="65"/>
      <c r="C166" s="66"/>
    </row>
    <row r="167" spans="1:3" ht="14.25">
      <c r="A167" s="65"/>
      <c r="B167" s="65"/>
      <c r="C167" s="66"/>
    </row>
    <row r="168" spans="1:3" ht="14.25">
      <c r="A168" s="65"/>
      <c r="B168" s="65"/>
      <c r="C168" s="66"/>
    </row>
    <row r="169" spans="1:3" ht="14.25">
      <c r="A169" s="65"/>
      <c r="B169" s="65"/>
      <c r="C169" s="66"/>
    </row>
    <row r="170" spans="1:3" ht="14.25">
      <c r="A170" s="65"/>
      <c r="B170" s="65"/>
      <c r="C170" s="66"/>
    </row>
    <row r="171" spans="1:3" ht="14.25">
      <c r="A171" s="65"/>
      <c r="B171" s="65"/>
      <c r="C171" s="66"/>
    </row>
    <row r="172" spans="1:3" ht="14.25">
      <c r="A172" s="65"/>
      <c r="B172" s="65"/>
      <c r="C172" s="66"/>
    </row>
    <row r="173" spans="1:3" ht="14.25">
      <c r="A173" s="65"/>
      <c r="B173" s="65"/>
      <c r="C173" s="66"/>
    </row>
    <row r="174" spans="1:3" ht="14.25">
      <c r="A174" s="65"/>
      <c r="B174" s="65"/>
      <c r="C174" s="66"/>
    </row>
    <row r="175" spans="1:3" ht="14.25">
      <c r="A175" s="65"/>
      <c r="B175" s="65"/>
      <c r="C175" s="66"/>
    </row>
    <row r="176" spans="1:3" ht="14.25">
      <c r="A176" s="65"/>
      <c r="B176" s="65"/>
      <c r="C176" s="66"/>
    </row>
    <row r="177" spans="1:3" ht="14.25">
      <c r="A177" s="65"/>
      <c r="B177" s="65"/>
      <c r="C177" s="66"/>
    </row>
    <row r="178" spans="1:3" ht="14.25">
      <c r="A178" s="65"/>
      <c r="B178" s="65"/>
      <c r="C178" s="66"/>
    </row>
    <row r="179" spans="1:3" ht="14.25">
      <c r="A179" s="65"/>
      <c r="B179" s="65"/>
      <c r="C179" s="66"/>
    </row>
    <row r="180" spans="1:3" ht="14.25">
      <c r="A180" s="65"/>
      <c r="B180" s="65"/>
      <c r="C180" s="66"/>
    </row>
    <row r="181" spans="1:3" ht="14.25">
      <c r="A181" s="65"/>
      <c r="B181" s="65"/>
      <c r="C181" s="66"/>
    </row>
    <row r="182" spans="1:3" ht="14.25">
      <c r="A182" s="65"/>
      <c r="B182" s="65"/>
      <c r="C182" s="66"/>
    </row>
    <row r="183" spans="1:3" ht="14.25">
      <c r="A183" s="65"/>
      <c r="B183" s="65"/>
      <c r="C183" s="66"/>
    </row>
    <row r="184" spans="1:3" ht="14.25">
      <c r="A184" s="65"/>
      <c r="B184" s="65"/>
      <c r="C184" s="66"/>
    </row>
    <row r="185" spans="1:3" ht="14.25">
      <c r="A185" s="65"/>
      <c r="B185" s="65"/>
      <c r="C185" s="66"/>
    </row>
    <row r="186" spans="1:3" ht="14.25">
      <c r="A186" s="65"/>
      <c r="B186" s="65"/>
      <c r="C186" s="66"/>
    </row>
    <row r="187" spans="1:3" ht="14.25">
      <c r="A187" s="65"/>
      <c r="B187" s="65"/>
      <c r="C187" s="66"/>
    </row>
    <row r="188" spans="1:3" ht="14.25">
      <c r="A188" s="65"/>
      <c r="B188" s="65"/>
      <c r="C188" s="66"/>
    </row>
    <row r="189" spans="1:3" ht="14.25">
      <c r="A189" s="65"/>
      <c r="B189" s="65"/>
      <c r="C189" s="66"/>
    </row>
    <row r="190" spans="1:3" ht="14.25">
      <c r="A190" s="65"/>
      <c r="B190" s="65"/>
      <c r="C190" s="66"/>
    </row>
    <row r="191" spans="1:3" ht="14.25">
      <c r="A191" s="65"/>
      <c r="B191" s="65"/>
      <c r="C191" s="66"/>
    </row>
    <row r="192" spans="1:3" ht="14.25">
      <c r="A192" s="65"/>
      <c r="B192" s="65"/>
      <c r="C192" s="66"/>
    </row>
    <row r="193" spans="1:3" ht="14.25">
      <c r="A193" s="65"/>
      <c r="B193" s="65"/>
      <c r="C193" s="66"/>
    </row>
    <row r="194" spans="1:3" ht="14.25">
      <c r="A194" s="65"/>
      <c r="B194" s="65"/>
      <c r="C194" s="66"/>
    </row>
    <row r="195" spans="1:3" ht="14.25">
      <c r="A195" s="65"/>
      <c r="B195" s="65"/>
      <c r="C195" s="66"/>
    </row>
    <row r="196" spans="1:3" ht="14.25">
      <c r="A196" s="65"/>
      <c r="B196" s="65"/>
      <c r="C196" s="66"/>
    </row>
    <row r="197" spans="1:3" ht="14.25">
      <c r="A197" s="65"/>
      <c r="B197" s="65"/>
      <c r="C197" s="66"/>
    </row>
    <row r="198" spans="1:3" ht="14.25">
      <c r="A198" s="65"/>
      <c r="B198" s="65"/>
      <c r="C198" s="66"/>
    </row>
    <row r="199" spans="1:3" ht="14.25">
      <c r="A199" s="65"/>
      <c r="B199" s="65"/>
      <c r="C199" s="66"/>
    </row>
    <row r="200" spans="1:3" ht="14.25">
      <c r="A200" s="65"/>
      <c r="B200" s="65"/>
      <c r="C200" s="66"/>
    </row>
    <row r="201" spans="1:3" ht="14.25">
      <c r="A201" s="65"/>
      <c r="B201" s="65"/>
      <c r="C201" s="66"/>
    </row>
    <row r="202" spans="1:3" ht="14.25">
      <c r="A202" s="65"/>
      <c r="B202" s="65"/>
      <c r="C202" s="66"/>
    </row>
    <row r="203" spans="1:3" ht="14.25">
      <c r="A203" s="65"/>
      <c r="B203" s="65"/>
      <c r="C203" s="66"/>
    </row>
    <row r="204" spans="1:3" ht="14.25">
      <c r="A204" s="65"/>
      <c r="B204" s="65"/>
      <c r="C204" s="66"/>
    </row>
    <row r="205" spans="1:3" ht="14.25">
      <c r="A205" s="65"/>
      <c r="B205" s="65"/>
      <c r="C205" s="66"/>
    </row>
    <row r="206" spans="1:3" ht="14.25">
      <c r="A206" s="65"/>
      <c r="B206" s="65"/>
      <c r="C206" s="66"/>
    </row>
    <row r="207" spans="1:3" ht="14.25">
      <c r="A207" s="65"/>
      <c r="B207" s="65"/>
      <c r="C207" s="66"/>
    </row>
    <row r="208" spans="1:3" ht="14.25">
      <c r="A208" s="65"/>
      <c r="B208" s="65"/>
      <c r="C208" s="66"/>
    </row>
    <row r="209" spans="1:3" ht="14.25">
      <c r="A209" s="65"/>
      <c r="B209" s="65"/>
      <c r="C209" s="66"/>
    </row>
    <row r="210" spans="1:3" ht="14.25">
      <c r="A210" s="65"/>
      <c r="B210" s="65"/>
      <c r="C210" s="66"/>
    </row>
    <row r="211" spans="1:3" ht="14.25">
      <c r="A211" s="65"/>
      <c r="B211" s="65"/>
      <c r="C211" s="66"/>
    </row>
    <row r="212" spans="1:3" ht="14.25">
      <c r="A212" s="65"/>
      <c r="B212" s="65"/>
      <c r="C212" s="66"/>
    </row>
    <row r="213" spans="1:3" ht="14.25">
      <c r="A213" s="65"/>
      <c r="B213" s="65"/>
      <c r="C213" s="66"/>
    </row>
    <row r="214" spans="1:3" ht="14.25">
      <c r="A214" s="65"/>
      <c r="B214" s="65"/>
      <c r="C214" s="66"/>
    </row>
    <row r="215" spans="1:3" ht="14.25">
      <c r="A215" s="65"/>
      <c r="B215" s="65"/>
      <c r="C215" s="66"/>
    </row>
    <row r="216" spans="1:3" ht="14.25">
      <c r="A216" s="65"/>
      <c r="B216" s="65"/>
      <c r="C216" s="66"/>
    </row>
    <row r="217" spans="1:3" ht="14.25">
      <c r="A217" s="65"/>
      <c r="B217" s="65"/>
      <c r="C217" s="66"/>
    </row>
    <row r="218" spans="1:3" ht="14.25">
      <c r="A218" s="65"/>
      <c r="B218" s="65"/>
      <c r="C218" s="66"/>
    </row>
    <row r="219" spans="1:3" ht="14.25">
      <c r="A219" s="65"/>
      <c r="B219" s="65"/>
      <c r="C219" s="66"/>
    </row>
    <row r="220" spans="1:3" ht="14.25">
      <c r="A220" s="65"/>
      <c r="B220" s="65"/>
      <c r="C220" s="66"/>
    </row>
    <row r="221" spans="1:3" ht="14.25">
      <c r="A221" s="65"/>
      <c r="B221" s="65"/>
      <c r="C221" s="66"/>
    </row>
    <row r="222" spans="1:3" ht="14.25">
      <c r="A222" s="65"/>
      <c r="B222" s="65"/>
      <c r="C222" s="66"/>
    </row>
    <row r="223" spans="1:3" ht="14.25">
      <c r="A223" s="65"/>
      <c r="B223" s="65"/>
      <c r="C223" s="66"/>
    </row>
    <row r="224" spans="1:3" ht="14.25">
      <c r="A224" s="65"/>
      <c r="B224" s="65"/>
      <c r="C224" s="66"/>
    </row>
    <row r="225" spans="1:3" ht="14.25">
      <c r="A225" s="65"/>
      <c r="B225" s="65"/>
      <c r="C225" s="66"/>
    </row>
    <row r="226" spans="1:3" ht="14.25">
      <c r="A226" s="65"/>
      <c r="B226" s="65"/>
      <c r="C226" s="66"/>
    </row>
    <row r="227" spans="1:3" ht="14.25">
      <c r="A227" s="65"/>
      <c r="B227" s="65"/>
      <c r="C227" s="66"/>
    </row>
    <row r="228" spans="1:3" ht="14.25">
      <c r="A228" s="65"/>
      <c r="B228" s="65"/>
      <c r="C228" s="66"/>
    </row>
    <row r="229" spans="1:3" ht="14.25">
      <c r="A229" s="65"/>
      <c r="B229" s="65"/>
      <c r="C229" s="66"/>
    </row>
    <row r="230" spans="1:3" ht="14.25">
      <c r="A230" s="65"/>
      <c r="B230" s="65"/>
      <c r="C230" s="66"/>
    </row>
    <row r="231" spans="1:3" ht="14.25">
      <c r="A231" s="65"/>
      <c r="B231" s="65"/>
      <c r="C231" s="66"/>
    </row>
    <row r="232" spans="1:3" ht="14.25">
      <c r="A232" s="65"/>
      <c r="B232" s="65"/>
      <c r="C232" s="66"/>
    </row>
    <row r="233" spans="1:3" ht="14.25">
      <c r="A233" s="65"/>
      <c r="B233" s="65"/>
      <c r="C233" s="66"/>
    </row>
    <row r="234" spans="1:3" ht="14.25">
      <c r="A234" s="65"/>
      <c r="B234" s="65"/>
      <c r="C234" s="66"/>
    </row>
    <row r="235" spans="1:3" ht="14.25">
      <c r="A235" s="65"/>
      <c r="B235" s="65"/>
      <c r="C235" s="66"/>
    </row>
    <row r="236" spans="1:3" ht="14.25">
      <c r="A236" s="65"/>
      <c r="B236" s="65"/>
      <c r="C236" s="66"/>
    </row>
    <row r="237" spans="1:3" ht="14.25">
      <c r="A237" s="65"/>
      <c r="B237" s="65"/>
      <c r="C237" s="66"/>
    </row>
    <row r="238" spans="1:3" ht="14.25">
      <c r="A238" s="65"/>
      <c r="B238" s="65"/>
      <c r="C238" s="66"/>
    </row>
    <row r="239" spans="1:3" ht="14.25">
      <c r="A239" s="65"/>
      <c r="B239" s="65"/>
      <c r="C239" s="66"/>
    </row>
    <row r="240" spans="1:3" ht="14.25">
      <c r="A240" s="65"/>
      <c r="B240" s="65"/>
      <c r="C240" s="66"/>
    </row>
    <row r="241" spans="1:3" ht="14.25">
      <c r="A241" s="65"/>
      <c r="B241" s="65"/>
      <c r="C241" s="66"/>
    </row>
    <row r="242" spans="1:3" ht="14.25">
      <c r="A242" s="65"/>
      <c r="B242" s="65"/>
      <c r="C242" s="66"/>
    </row>
    <row r="243" spans="1:3" ht="14.25">
      <c r="A243" s="65"/>
      <c r="B243" s="65"/>
      <c r="C243" s="66"/>
    </row>
    <row r="244" spans="1:3" ht="14.25">
      <c r="A244" s="65"/>
      <c r="B244" s="65"/>
      <c r="C244" s="66"/>
    </row>
    <row r="245" spans="1:3" ht="14.25">
      <c r="A245" s="65"/>
      <c r="B245" s="65"/>
      <c r="C245" s="66"/>
    </row>
    <row r="246" spans="1:3" ht="14.25">
      <c r="A246" s="65"/>
      <c r="B246" s="65"/>
      <c r="C246" s="66"/>
    </row>
    <row r="247" spans="1:3" ht="14.25">
      <c r="A247" s="65"/>
      <c r="B247" s="65"/>
      <c r="C247" s="66"/>
    </row>
    <row r="248" spans="1:3" ht="14.25">
      <c r="A248" s="65"/>
      <c r="B248" s="65"/>
      <c r="C248" s="66"/>
    </row>
    <row r="249" spans="1:3" ht="14.25">
      <c r="A249" s="65"/>
      <c r="B249" s="65"/>
      <c r="C249" s="66"/>
    </row>
    <row r="250" spans="1:3" ht="14.25">
      <c r="A250" s="65"/>
      <c r="B250" s="65"/>
      <c r="C250" s="66"/>
    </row>
    <row r="251" spans="1:3" ht="14.25">
      <c r="A251" s="65"/>
      <c r="B251" s="65"/>
      <c r="C251" s="66"/>
    </row>
    <row r="252" spans="1:3" ht="14.25">
      <c r="A252" s="65"/>
      <c r="B252" s="65"/>
      <c r="C252" s="66"/>
    </row>
    <row r="253" spans="1:3" ht="14.25">
      <c r="A253" s="65"/>
      <c r="B253" s="65"/>
      <c r="C253" s="66"/>
    </row>
    <row r="254" spans="1:3" ht="14.25">
      <c r="A254" s="65"/>
      <c r="B254" s="65"/>
      <c r="C254" s="66"/>
    </row>
    <row r="255" spans="1:3" ht="14.25">
      <c r="A255" s="65"/>
      <c r="B255" s="65"/>
      <c r="C255" s="66"/>
    </row>
    <row r="256" spans="1:3" ht="14.25">
      <c r="A256" s="65"/>
      <c r="B256" s="65"/>
      <c r="C256" s="66"/>
    </row>
    <row r="257" spans="1:3" ht="14.25">
      <c r="A257" s="65"/>
      <c r="B257" s="65"/>
      <c r="C257" s="66"/>
    </row>
    <row r="258" spans="1:3" ht="14.25">
      <c r="A258" s="65"/>
      <c r="B258" s="65"/>
      <c r="C258" s="66"/>
    </row>
    <row r="259" spans="1:3" ht="14.25">
      <c r="A259" s="65"/>
      <c r="B259" s="65"/>
      <c r="C259" s="66"/>
    </row>
    <row r="260" spans="1:3" ht="14.25">
      <c r="A260" s="65"/>
      <c r="B260" s="65"/>
      <c r="C260" s="66"/>
    </row>
    <row r="261" spans="1:3" ht="14.25">
      <c r="A261" s="65"/>
      <c r="B261" s="65"/>
      <c r="C261" s="66"/>
    </row>
    <row r="262" spans="1:3" ht="14.25">
      <c r="A262" s="65"/>
      <c r="B262" s="65"/>
      <c r="C262" s="66"/>
    </row>
    <row r="263" spans="1:3" ht="14.25">
      <c r="A263" s="65"/>
      <c r="B263" s="65"/>
      <c r="C263" s="66"/>
    </row>
    <row r="264" spans="1:3" ht="14.25">
      <c r="A264" s="65"/>
      <c r="B264" s="65"/>
      <c r="C264" s="66"/>
    </row>
    <row r="265" spans="1:3" ht="14.25">
      <c r="A265" s="65"/>
      <c r="B265" s="65"/>
      <c r="C265" s="66"/>
    </row>
    <row r="266" spans="1:3" ht="14.25">
      <c r="A266" s="65"/>
      <c r="B266" s="65"/>
      <c r="C266" s="66"/>
    </row>
    <row r="267" spans="1:3" ht="14.25">
      <c r="A267" s="65"/>
      <c r="B267" s="65"/>
      <c r="C267" s="66"/>
    </row>
    <row r="268" spans="1:3" ht="14.25">
      <c r="A268" s="65"/>
      <c r="B268" s="65"/>
      <c r="C268" s="66"/>
    </row>
    <row r="269" spans="1:3" ht="14.25">
      <c r="A269" s="65"/>
      <c r="B269" s="65"/>
      <c r="C269" s="66"/>
    </row>
    <row r="270" spans="1:3" ht="14.25">
      <c r="A270" s="65"/>
      <c r="B270" s="65"/>
      <c r="C270" s="66"/>
    </row>
    <row r="271" spans="1:3" ht="14.25">
      <c r="A271" s="65"/>
      <c r="B271" s="65"/>
      <c r="C271" s="66"/>
    </row>
    <row r="272" spans="1:3" ht="14.25">
      <c r="A272" s="65"/>
      <c r="B272" s="65"/>
      <c r="C272" s="66"/>
    </row>
    <row r="273" spans="1:3" ht="14.25">
      <c r="A273" s="65"/>
      <c r="B273" s="65"/>
      <c r="C273" s="66"/>
    </row>
    <row r="274" spans="1:3" ht="14.25">
      <c r="A274" s="65"/>
      <c r="B274" s="65"/>
      <c r="C274" s="66"/>
    </row>
    <row r="275" spans="1:3" ht="14.25">
      <c r="A275" s="65"/>
      <c r="B275" s="65"/>
      <c r="C275" s="66"/>
    </row>
    <row r="276" spans="1:3" ht="14.25">
      <c r="A276" s="65"/>
      <c r="B276" s="65"/>
      <c r="C276" s="66"/>
    </row>
    <row r="277" spans="1:3" ht="14.25">
      <c r="A277" s="65"/>
      <c r="B277" s="65"/>
      <c r="C277" s="66"/>
    </row>
    <row r="278" spans="1:3" ht="14.25">
      <c r="A278" s="65"/>
      <c r="B278" s="65"/>
      <c r="C278" s="66"/>
    </row>
    <row r="279" spans="1:3" ht="14.25">
      <c r="A279" s="65"/>
      <c r="B279" s="65"/>
      <c r="C279" s="66"/>
    </row>
    <row r="280" spans="1:3" ht="14.25">
      <c r="A280" s="65"/>
      <c r="B280" s="65"/>
      <c r="C280" s="66"/>
    </row>
    <row r="281" spans="1:3" ht="14.25">
      <c r="A281" s="65"/>
      <c r="B281" s="65"/>
      <c r="C281" s="66"/>
    </row>
    <row r="282" spans="1:3" ht="14.25">
      <c r="A282" s="65"/>
      <c r="B282" s="65"/>
      <c r="C282" s="66"/>
    </row>
    <row r="283" spans="1:3" ht="14.25">
      <c r="A283" s="65"/>
      <c r="B283" s="65"/>
      <c r="C283" s="66"/>
    </row>
    <row r="284" spans="1:3" ht="14.25">
      <c r="A284" s="65"/>
      <c r="B284" s="65"/>
      <c r="C284" s="66"/>
    </row>
    <row r="285" spans="1:3" ht="14.25">
      <c r="A285" s="65"/>
      <c r="B285" s="65"/>
      <c r="C285" s="66"/>
    </row>
    <row r="286" spans="1:3" ht="14.25">
      <c r="A286" s="65"/>
      <c r="B286" s="65"/>
      <c r="C286" s="66"/>
    </row>
    <row r="287" spans="1:3" ht="14.25">
      <c r="A287" s="65"/>
      <c r="B287" s="65"/>
      <c r="C287" s="66"/>
    </row>
    <row r="288" spans="1:3" ht="14.25">
      <c r="A288" s="65"/>
      <c r="B288" s="65"/>
      <c r="C288" s="66"/>
    </row>
    <row r="289" spans="1:3" ht="14.25">
      <c r="A289" s="65"/>
      <c r="B289" s="65"/>
      <c r="C289" s="66"/>
    </row>
    <row r="290" spans="1:3" ht="14.25">
      <c r="A290" s="65"/>
      <c r="B290" s="65"/>
      <c r="C290" s="66"/>
    </row>
    <row r="291" spans="1:3" ht="14.25">
      <c r="A291" s="65"/>
      <c r="B291" s="65"/>
      <c r="C291" s="66"/>
    </row>
    <row r="292" spans="1:3" ht="14.25">
      <c r="A292" s="65"/>
      <c r="B292" s="65"/>
      <c r="C292" s="66"/>
    </row>
    <row r="293" spans="1:3" ht="14.25">
      <c r="A293" s="65"/>
      <c r="B293" s="65"/>
      <c r="C293" s="66"/>
    </row>
    <row r="294" spans="1:3" ht="14.25">
      <c r="A294" s="65"/>
      <c r="B294" s="65"/>
      <c r="C294" s="66"/>
    </row>
    <row r="295" spans="1:3" ht="14.25">
      <c r="A295" s="65"/>
      <c r="B295" s="65"/>
      <c r="C295" s="66"/>
    </row>
    <row r="296" spans="1:3" ht="14.25">
      <c r="A296" s="65"/>
      <c r="B296" s="65"/>
      <c r="C296" s="66"/>
    </row>
    <row r="297" spans="1:3" ht="14.25">
      <c r="A297" s="65"/>
      <c r="B297" s="65"/>
      <c r="C297" s="66"/>
    </row>
    <row r="298" spans="1:3" ht="14.25">
      <c r="A298" s="65"/>
      <c r="B298" s="65"/>
      <c r="C298" s="66"/>
    </row>
    <row r="299" spans="1:3" ht="14.25">
      <c r="A299" s="65"/>
      <c r="B299" s="65"/>
      <c r="C299" s="66"/>
    </row>
    <row r="300" spans="1:3" ht="14.25">
      <c r="A300" s="65"/>
      <c r="B300" s="65"/>
      <c r="C300" s="66"/>
    </row>
    <row r="301" spans="1:3" ht="14.25">
      <c r="A301" s="65"/>
      <c r="B301" s="65"/>
      <c r="C301" s="66"/>
    </row>
    <row r="302" spans="1:3" ht="14.25">
      <c r="A302" s="65"/>
      <c r="B302" s="65"/>
      <c r="C302" s="66"/>
    </row>
    <row r="303" spans="1:3" ht="14.25">
      <c r="A303" s="65"/>
      <c r="B303" s="65"/>
      <c r="C303" s="66"/>
    </row>
    <row r="304" spans="1:3" ht="14.25">
      <c r="A304" s="65"/>
      <c r="B304" s="65"/>
      <c r="C304" s="66"/>
    </row>
    <row r="305" spans="1:3" ht="14.25">
      <c r="A305" s="65"/>
      <c r="B305" s="65"/>
      <c r="C305" s="66"/>
    </row>
    <row r="306" spans="1:3" ht="14.25">
      <c r="A306" s="65"/>
      <c r="B306" s="65"/>
      <c r="C306" s="66"/>
    </row>
    <row r="307" spans="1:3" ht="14.25">
      <c r="A307" s="65"/>
      <c r="B307" s="65"/>
      <c r="C307" s="66"/>
    </row>
    <row r="308" spans="1:3" ht="14.25">
      <c r="A308" s="65"/>
      <c r="B308" s="65"/>
      <c r="C308" s="66"/>
    </row>
    <row r="309" spans="1:3" ht="14.25">
      <c r="A309" s="65"/>
      <c r="B309" s="65"/>
      <c r="C309" s="66"/>
    </row>
    <row r="310" spans="1:3" ht="14.25">
      <c r="A310" s="65"/>
      <c r="B310" s="65"/>
      <c r="C310" s="66"/>
    </row>
    <row r="311" spans="1:3" ht="14.25">
      <c r="A311" s="65"/>
      <c r="B311" s="65"/>
      <c r="C311" s="66"/>
    </row>
    <row r="312" spans="1:3" ht="14.25">
      <c r="A312" s="65"/>
      <c r="B312" s="65"/>
      <c r="C312" s="66"/>
    </row>
    <row r="313" spans="1:3" ht="14.25">
      <c r="A313" s="65"/>
      <c r="B313" s="65"/>
      <c r="C313" s="66"/>
    </row>
    <row r="314" spans="1:3" ht="14.25">
      <c r="A314" s="65"/>
      <c r="B314" s="65"/>
      <c r="C314" s="66"/>
    </row>
    <row r="315" spans="1:3" ht="14.25">
      <c r="A315" s="65"/>
      <c r="B315" s="65"/>
      <c r="C315" s="66"/>
    </row>
    <row r="316" spans="1:3" ht="14.25">
      <c r="A316" s="65"/>
      <c r="B316" s="65"/>
      <c r="C316" s="66"/>
    </row>
    <row r="317" spans="1:3" ht="14.25">
      <c r="A317" s="65"/>
      <c r="B317" s="65"/>
      <c r="C317" s="66"/>
    </row>
    <row r="318" spans="1:3" ht="14.25">
      <c r="A318" s="65"/>
      <c r="B318" s="65"/>
      <c r="C318" s="66"/>
    </row>
    <row r="319" spans="1:3" ht="14.25">
      <c r="A319" s="65"/>
      <c r="B319" s="65"/>
      <c r="C319" s="66"/>
    </row>
    <row r="320" spans="1:3" ht="14.25">
      <c r="A320" s="65"/>
      <c r="B320" s="65"/>
      <c r="C320" s="66"/>
    </row>
    <row r="321" spans="1:3" ht="14.25">
      <c r="A321" s="65"/>
      <c r="B321" s="65"/>
      <c r="C321" s="66"/>
    </row>
    <row r="322" spans="1:3" ht="14.25">
      <c r="A322" s="65"/>
      <c r="B322" s="65"/>
      <c r="C322" s="66"/>
    </row>
    <row r="323" spans="1:3" ht="14.25">
      <c r="A323" s="65"/>
      <c r="B323" s="65"/>
      <c r="C323" s="66"/>
    </row>
    <row r="324" spans="1:3" ht="14.25">
      <c r="A324" s="65"/>
      <c r="B324" s="65"/>
      <c r="C324" s="66"/>
    </row>
    <row r="325" spans="1:3" ht="14.25">
      <c r="A325" s="65"/>
      <c r="B325" s="65"/>
      <c r="C325" s="66"/>
    </row>
    <row r="326" spans="1:3" ht="14.25">
      <c r="A326" s="65"/>
      <c r="B326" s="65"/>
      <c r="C326" s="66"/>
    </row>
    <row r="327" spans="1:3" ht="14.25">
      <c r="A327" s="65"/>
      <c r="B327" s="65"/>
      <c r="C327" s="66"/>
    </row>
    <row r="328" spans="1:3" ht="14.25">
      <c r="A328" s="65"/>
      <c r="B328" s="65"/>
      <c r="C328" s="66"/>
    </row>
    <row r="329" spans="1:3" ht="14.25">
      <c r="A329" s="65"/>
      <c r="B329" s="65"/>
      <c r="C329" s="66"/>
    </row>
    <row r="330" spans="1:3" ht="14.25">
      <c r="A330" s="65"/>
      <c r="B330" s="65"/>
      <c r="C330" s="66"/>
    </row>
    <row r="331" spans="1:3" ht="14.25">
      <c r="A331" s="65"/>
      <c r="B331" s="65"/>
      <c r="C331" s="66"/>
    </row>
    <row r="332" spans="1:3" ht="14.25">
      <c r="A332" s="65"/>
      <c r="B332" s="65"/>
      <c r="C332" s="66"/>
    </row>
    <row r="333" spans="1:3" ht="14.25">
      <c r="A333" s="65"/>
      <c r="B333" s="65"/>
      <c r="C333" s="66"/>
    </row>
    <row r="334" spans="1:3" ht="14.25">
      <c r="A334" s="65"/>
      <c r="B334" s="65"/>
      <c r="C334" s="66"/>
    </row>
    <row r="335" spans="1:3" ht="14.25">
      <c r="A335" s="65"/>
      <c r="B335" s="65"/>
      <c r="C335" s="66"/>
    </row>
    <row r="336" spans="1:3" ht="14.25">
      <c r="A336" s="65"/>
      <c r="B336" s="65"/>
      <c r="C336" s="66"/>
    </row>
    <row r="337" spans="1:3" ht="14.25">
      <c r="A337" s="65"/>
      <c r="B337" s="65"/>
      <c r="C337" s="66"/>
    </row>
    <row r="338" spans="1:3" ht="14.25">
      <c r="A338" s="65"/>
      <c r="B338" s="65"/>
      <c r="C338" s="66"/>
    </row>
    <row r="339" spans="1:3" ht="14.25">
      <c r="A339" s="65"/>
      <c r="B339" s="65"/>
      <c r="C339" s="66"/>
    </row>
    <row r="340" spans="1:3" ht="14.25">
      <c r="A340" s="65"/>
      <c r="B340" s="65"/>
      <c r="C340" s="66"/>
    </row>
    <row r="341" spans="1:3" ht="14.25">
      <c r="A341" s="65"/>
      <c r="B341" s="65"/>
      <c r="C341" s="66"/>
    </row>
    <row r="342" spans="1:3" ht="14.25">
      <c r="A342" s="65"/>
      <c r="B342" s="65"/>
      <c r="C342" s="66"/>
    </row>
    <row r="343" spans="1:3" ht="14.25">
      <c r="A343" s="65"/>
      <c r="B343" s="65"/>
      <c r="C343" s="66"/>
    </row>
    <row r="344" spans="1:3" ht="14.25">
      <c r="A344" s="65"/>
      <c r="B344" s="65"/>
      <c r="C344" s="66"/>
    </row>
    <row r="345" spans="1:3" ht="14.25">
      <c r="A345" s="65"/>
      <c r="B345" s="65"/>
      <c r="C345" s="66"/>
    </row>
    <row r="346" spans="1:3" ht="14.25">
      <c r="A346" s="65"/>
      <c r="B346" s="65"/>
      <c r="C346" s="66"/>
    </row>
    <row r="347" spans="1:3" ht="14.25">
      <c r="A347" s="65"/>
      <c r="B347" s="65"/>
      <c r="C347" s="66"/>
    </row>
    <row r="348" spans="1:3" ht="14.25">
      <c r="A348" s="65"/>
      <c r="B348" s="65"/>
      <c r="C348" s="66"/>
    </row>
    <row r="349" spans="1:3" ht="14.25">
      <c r="A349" s="65"/>
      <c r="B349" s="65"/>
      <c r="C349" s="66"/>
    </row>
    <row r="350" spans="1:3" ht="14.25">
      <c r="A350" s="65"/>
      <c r="B350" s="65"/>
      <c r="C350" s="66"/>
    </row>
    <row r="351" spans="1:3" ht="14.25">
      <c r="A351" s="65"/>
      <c r="B351" s="65"/>
      <c r="C351" s="66"/>
    </row>
    <row r="352" spans="1:3" ht="14.25">
      <c r="A352" s="65"/>
      <c r="B352" s="65"/>
      <c r="C352" s="66"/>
    </row>
    <row r="353" spans="1:3" ht="14.25">
      <c r="A353" s="65"/>
      <c r="B353" s="65"/>
      <c r="C353" s="66"/>
    </row>
    <row r="354" spans="1:3" ht="14.25">
      <c r="A354" s="65"/>
      <c r="B354" s="65"/>
      <c r="C354" s="66"/>
    </row>
    <row r="355" spans="1:3" ht="14.25">
      <c r="A355" s="65"/>
      <c r="B355" s="65"/>
      <c r="C355" s="66"/>
    </row>
    <row r="356" spans="1:3" ht="14.25">
      <c r="A356" s="65"/>
      <c r="B356" s="65"/>
      <c r="C356" s="66"/>
    </row>
    <row r="357" spans="1:3" ht="14.25">
      <c r="A357" s="65"/>
      <c r="B357" s="65"/>
      <c r="C357" s="66"/>
    </row>
    <row r="358" spans="1:3" ht="14.25">
      <c r="A358" s="65"/>
      <c r="B358" s="65"/>
      <c r="C358" s="66"/>
    </row>
    <row r="359" spans="1:3" ht="14.25">
      <c r="A359" s="65"/>
      <c r="B359" s="65"/>
      <c r="C359" s="66"/>
    </row>
    <row r="360" spans="1:3" ht="14.25">
      <c r="A360" s="65"/>
      <c r="B360" s="65"/>
      <c r="C360" s="66"/>
    </row>
    <row r="361" spans="1:3" ht="14.25">
      <c r="A361" s="65"/>
      <c r="B361" s="65"/>
      <c r="C361" s="66"/>
    </row>
    <row r="362" spans="1:3" ht="14.25">
      <c r="A362" s="65"/>
      <c r="B362" s="65"/>
      <c r="C362" s="66"/>
    </row>
    <row r="363" spans="1:3" ht="14.25">
      <c r="A363" s="65"/>
      <c r="B363" s="65"/>
      <c r="C363" s="66"/>
    </row>
    <row r="364" spans="1:3" ht="14.25">
      <c r="A364" s="65"/>
      <c r="B364" s="65"/>
      <c r="C364" s="66"/>
    </row>
    <row r="365" spans="1:3" ht="14.25">
      <c r="A365" s="65"/>
      <c r="B365" s="65"/>
      <c r="C365" s="66"/>
    </row>
    <row r="366" spans="1:3" ht="14.25">
      <c r="A366" s="65"/>
      <c r="B366" s="65"/>
      <c r="C366" s="66"/>
    </row>
    <row r="367" spans="1:3" ht="14.25">
      <c r="A367" s="65"/>
      <c r="B367" s="65"/>
      <c r="C367" s="66"/>
    </row>
    <row r="368" spans="1:3" ht="14.25">
      <c r="A368" s="65"/>
      <c r="B368" s="65"/>
      <c r="C368" s="66"/>
    </row>
    <row r="369" spans="1:3" ht="14.25">
      <c r="A369" s="65"/>
      <c r="B369" s="65"/>
      <c r="C369" s="66"/>
    </row>
    <row r="370" spans="1:3" ht="14.25">
      <c r="A370" s="65"/>
      <c r="B370" s="65"/>
      <c r="C370" s="66"/>
    </row>
    <row r="371" spans="1:3" ht="14.25">
      <c r="A371" s="65"/>
      <c r="B371" s="65"/>
      <c r="C371" s="66"/>
    </row>
    <row r="372" spans="1:3" ht="14.25">
      <c r="A372" s="65"/>
      <c r="B372" s="65"/>
      <c r="C372" s="66"/>
    </row>
    <row r="373" spans="1:3" ht="14.25">
      <c r="A373" s="65"/>
      <c r="B373" s="65"/>
      <c r="C373" s="66"/>
    </row>
    <row r="374" spans="1:3" ht="14.25">
      <c r="A374" s="65"/>
      <c r="B374" s="65"/>
      <c r="C374" s="66"/>
    </row>
    <row r="375" spans="1:3" ht="14.25">
      <c r="A375" s="65"/>
      <c r="B375" s="65"/>
      <c r="C375" s="66"/>
    </row>
    <row r="376" spans="1:3" ht="14.25">
      <c r="A376" s="65"/>
      <c r="B376" s="65"/>
      <c r="C376" s="66"/>
    </row>
    <row r="377" spans="1:3" ht="14.25">
      <c r="A377" s="65"/>
      <c r="B377" s="65"/>
      <c r="C377" s="66"/>
    </row>
    <row r="378" spans="1:3" ht="14.25">
      <c r="A378" s="65"/>
      <c r="B378" s="65"/>
      <c r="C378" s="66"/>
    </row>
    <row r="379" spans="1:3" ht="14.25">
      <c r="A379" s="65"/>
      <c r="B379" s="65"/>
      <c r="C379" s="66"/>
    </row>
    <row r="380" spans="1:3" ht="14.25">
      <c r="A380" s="65"/>
      <c r="B380" s="65"/>
      <c r="C380" s="66"/>
    </row>
    <row r="381" spans="1:3" ht="14.25">
      <c r="A381" s="65"/>
      <c r="B381" s="65"/>
      <c r="C381" s="66"/>
    </row>
    <row r="382" spans="1:3" ht="14.25">
      <c r="A382" s="65"/>
      <c r="B382" s="65"/>
      <c r="C382" s="66"/>
    </row>
    <row r="383" spans="1:3" ht="14.25">
      <c r="A383" s="65"/>
      <c r="B383" s="65"/>
      <c r="C383" s="66"/>
    </row>
    <row r="384" spans="1:3" ht="14.25">
      <c r="A384" s="65"/>
      <c r="B384" s="65"/>
      <c r="C384" s="66"/>
    </row>
    <row r="385" spans="1:3" ht="14.25">
      <c r="A385" s="65"/>
      <c r="B385" s="65"/>
      <c r="C385" s="66"/>
    </row>
    <row r="386" spans="1:3" ht="14.25">
      <c r="A386" s="65"/>
      <c r="B386" s="65"/>
      <c r="C386" s="66"/>
    </row>
    <row r="387" spans="1:3" ht="14.25">
      <c r="A387" s="65"/>
      <c r="B387" s="65"/>
      <c r="C387" s="66"/>
    </row>
    <row r="388" spans="1:3" ht="14.25">
      <c r="A388" s="65"/>
      <c r="B388" s="65"/>
      <c r="C388" s="66"/>
    </row>
    <row r="389" spans="1:3" ht="14.25">
      <c r="A389" s="65"/>
      <c r="B389" s="65"/>
      <c r="C389" s="66"/>
    </row>
    <row r="390" spans="1:3" ht="14.25">
      <c r="A390" s="65"/>
      <c r="B390" s="65"/>
      <c r="C390" s="66"/>
    </row>
    <row r="391" spans="1:3" ht="14.25">
      <c r="A391" s="65"/>
      <c r="B391" s="65"/>
      <c r="C391" s="66"/>
    </row>
    <row r="392" spans="1:3" ht="14.25">
      <c r="A392" s="65"/>
      <c r="B392" s="65"/>
      <c r="C392" s="66"/>
    </row>
    <row r="393" spans="1:3" ht="14.25">
      <c r="A393" s="65"/>
      <c r="B393" s="65"/>
      <c r="C393" s="66"/>
    </row>
    <row r="394" spans="1:3" ht="14.25">
      <c r="A394" s="65"/>
      <c r="B394" s="65"/>
      <c r="C394" s="66"/>
    </row>
    <row r="395" spans="1:3" ht="14.25">
      <c r="A395" s="65"/>
      <c r="B395" s="65"/>
      <c r="C395" s="66"/>
    </row>
    <row r="396" spans="1:3" ht="14.25">
      <c r="A396" s="65"/>
      <c r="B396" s="65"/>
      <c r="C396" s="66"/>
    </row>
    <row r="397" spans="1:3" ht="14.25">
      <c r="A397" s="65"/>
      <c r="B397" s="65"/>
      <c r="C397" s="66"/>
    </row>
    <row r="398" spans="1:3" ht="14.25">
      <c r="A398" s="65"/>
      <c r="B398" s="65"/>
      <c r="C398" s="66"/>
    </row>
    <row r="399" spans="1:3" ht="14.25">
      <c r="A399" s="65"/>
      <c r="B399" s="65"/>
      <c r="C399" s="66"/>
    </row>
    <row r="400" spans="1:3" ht="14.25">
      <c r="A400" s="65"/>
      <c r="B400" s="65"/>
      <c r="C400" s="66"/>
    </row>
    <row r="401" spans="1:3" ht="14.25">
      <c r="A401" s="65"/>
      <c r="B401" s="65"/>
      <c r="C401" s="66"/>
    </row>
    <row r="402" spans="1:3" ht="14.25">
      <c r="A402" s="65"/>
      <c r="B402" s="65"/>
      <c r="C402" s="66"/>
    </row>
    <row r="403" spans="1:3" ht="14.25">
      <c r="A403" s="65"/>
      <c r="B403" s="65"/>
      <c r="C403" s="66"/>
    </row>
    <row r="404" spans="1:3" ht="14.25">
      <c r="A404" s="65"/>
      <c r="B404" s="65"/>
      <c r="C404" s="66"/>
    </row>
    <row r="405" spans="1:3" ht="14.25">
      <c r="A405" s="65"/>
      <c r="B405" s="65"/>
      <c r="C405" s="66"/>
    </row>
    <row r="406" spans="1:3" ht="14.25">
      <c r="A406" s="65"/>
      <c r="B406" s="65"/>
      <c r="C406" s="66"/>
    </row>
    <row r="407" spans="1:3" ht="14.25">
      <c r="A407" s="65"/>
      <c r="B407" s="65"/>
      <c r="C407" s="66"/>
    </row>
    <row r="408" spans="1:3" ht="14.25">
      <c r="A408" s="65"/>
      <c r="B408" s="65"/>
      <c r="C408" s="66"/>
    </row>
    <row r="409" spans="1:3" ht="14.25">
      <c r="A409" s="65"/>
      <c r="B409" s="65"/>
      <c r="C409" s="66"/>
    </row>
    <row r="410" spans="1:3" ht="14.25">
      <c r="A410" s="65"/>
      <c r="B410" s="65"/>
      <c r="C410" s="66"/>
    </row>
    <row r="411" spans="1:3" ht="14.25">
      <c r="A411" s="65"/>
      <c r="B411" s="65"/>
      <c r="C411" s="66"/>
    </row>
    <row r="412" spans="1:3" ht="14.25">
      <c r="A412" s="65"/>
      <c r="B412" s="65"/>
      <c r="C412" s="66"/>
    </row>
    <row r="413" spans="1:3" ht="14.25">
      <c r="A413" s="65"/>
      <c r="B413" s="65"/>
      <c r="C413" s="66"/>
    </row>
    <row r="414" spans="1:3" ht="14.25">
      <c r="A414" s="65"/>
      <c r="B414" s="65"/>
      <c r="C414" s="66"/>
    </row>
    <row r="415" spans="1:3" ht="14.25">
      <c r="A415" s="65"/>
      <c r="B415" s="65"/>
      <c r="C415" s="66"/>
    </row>
    <row r="416" spans="1:3" ht="14.25">
      <c r="A416" s="65"/>
      <c r="B416" s="65"/>
      <c r="C416" s="66"/>
    </row>
    <row r="417" spans="1:3" ht="14.25">
      <c r="A417" s="65"/>
      <c r="B417" s="65"/>
      <c r="C417" s="66"/>
    </row>
    <row r="418" spans="1:3" ht="14.25">
      <c r="A418" s="65"/>
      <c r="B418" s="65"/>
      <c r="C418" s="66"/>
    </row>
    <row r="419" spans="1:3" ht="14.25">
      <c r="A419" s="65"/>
      <c r="B419" s="65"/>
      <c r="C419" s="66"/>
    </row>
    <row r="420" spans="1:3" ht="14.25">
      <c r="A420" s="65"/>
      <c r="B420" s="65"/>
      <c r="C420" s="66"/>
    </row>
    <row r="421" spans="1:3" ht="14.25">
      <c r="A421" s="65"/>
      <c r="B421" s="65"/>
      <c r="C421" s="66"/>
    </row>
    <row r="422" spans="1:3" ht="14.25">
      <c r="A422" s="65"/>
      <c r="B422" s="65"/>
      <c r="C422" s="66"/>
    </row>
    <row r="423" spans="1:3" ht="14.25">
      <c r="A423" s="65"/>
      <c r="B423" s="65"/>
      <c r="C423" s="66"/>
    </row>
    <row r="424" spans="1:3" ht="14.25">
      <c r="A424" s="65"/>
      <c r="B424" s="65"/>
      <c r="C424" s="66"/>
    </row>
    <row r="425" spans="1:3" ht="14.25">
      <c r="A425" s="65"/>
      <c r="B425" s="65"/>
      <c r="C425" s="66"/>
    </row>
    <row r="426" spans="1:3" ht="14.25">
      <c r="A426" s="65"/>
      <c r="B426" s="65"/>
      <c r="C426" s="66"/>
    </row>
    <row r="427" spans="1:3" ht="14.25">
      <c r="A427" s="65"/>
      <c r="B427" s="65"/>
      <c r="C427" s="66"/>
    </row>
    <row r="428" spans="1:3" ht="14.25">
      <c r="A428" s="65"/>
      <c r="B428" s="65"/>
      <c r="C428" s="66"/>
    </row>
    <row r="429" spans="1:3" ht="14.25">
      <c r="A429" s="65"/>
      <c r="B429" s="65"/>
      <c r="C429" s="66"/>
    </row>
    <row r="430" spans="1:3" ht="14.25">
      <c r="A430" s="65"/>
      <c r="B430" s="65"/>
      <c r="C430" s="66"/>
    </row>
    <row r="431" spans="1:3" ht="14.25">
      <c r="A431" s="65"/>
      <c r="B431" s="65"/>
      <c r="C431" s="66"/>
    </row>
    <row r="432" spans="1:3" ht="14.25">
      <c r="A432" s="65"/>
      <c r="B432" s="65"/>
      <c r="C432" s="66"/>
    </row>
    <row r="433" spans="1:3" ht="14.25">
      <c r="A433" s="65"/>
      <c r="B433" s="65"/>
      <c r="C433" s="66"/>
    </row>
    <row r="434" spans="1:3" ht="14.25">
      <c r="A434" s="65"/>
      <c r="B434" s="65"/>
      <c r="C434" s="66"/>
    </row>
    <row r="435" spans="1:3" ht="14.25">
      <c r="A435" s="65"/>
      <c r="B435" s="65"/>
      <c r="C435" s="66"/>
    </row>
    <row r="436" spans="1:3" ht="14.25">
      <c r="A436" s="65"/>
      <c r="B436" s="65"/>
      <c r="C436" s="66"/>
    </row>
    <row r="437" spans="1:3" ht="14.25">
      <c r="A437" s="65"/>
      <c r="B437" s="65"/>
      <c r="C437" s="66"/>
    </row>
    <row r="438" spans="1:3" ht="14.25">
      <c r="A438" s="65"/>
      <c r="B438" s="65"/>
      <c r="C438" s="66"/>
    </row>
    <row r="439" spans="1:3" ht="14.25">
      <c r="A439" s="65"/>
      <c r="B439" s="65"/>
      <c r="C439" s="66"/>
    </row>
    <row r="440" spans="1:3" ht="14.25">
      <c r="A440" s="65"/>
      <c r="B440" s="65"/>
      <c r="C440" s="66"/>
    </row>
    <row r="441" spans="1:3" ht="14.25">
      <c r="A441" s="65"/>
      <c r="B441" s="65"/>
      <c r="C441" s="66"/>
    </row>
    <row r="442" spans="1:3" ht="14.25">
      <c r="A442" s="65"/>
      <c r="B442" s="65"/>
      <c r="C442" s="66"/>
    </row>
    <row r="443" spans="1:3" ht="14.25">
      <c r="A443" s="65"/>
      <c r="B443" s="65"/>
      <c r="C443" s="66"/>
    </row>
    <row r="444" spans="1:3" ht="14.25">
      <c r="A444" s="65"/>
      <c r="B444" s="65"/>
      <c r="C444" s="66"/>
    </row>
    <row r="445" spans="1:3" ht="14.25">
      <c r="A445" s="65"/>
      <c r="B445" s="65"/>
      <c r="C445" s="66"/>
    </row>
    <row r="446" spans="1:3" ht="14.25">
      <c r="A446" s="65"/>
      <c r="B446" s="65"/>
      <c r="C446" s="66"/>
    </row>
    <row r="447" spans="1:3" ht="14.25">
      <c r="A447" s="65"/>
      <c r="B447" s="65"/>
      <c r="C447" s="66"/>
    </row>
    <row r="448" spans="1:3" ht="14.25">
      <c r="A448" s="65"/>
      <c r="B448" s="65"/>
      <c r="C448" s="66"/>
    </row>
    <row r="449" spans="1:3" ht="14.25">
      <c r="A449" s="65"/>
      <c r="B449" s="65"/>
      <c r="C449" s="66"/>
    </row>
    <row r="450" spans="1:3" ht="14.25">
      <c r="A450" s="65"/>
      <c r="B450" s="65"/>
      <c r="C450" s="66"/>
    </row>
    <row r="451" spans="1:3" ht="14.25">
      <c r="A451" s="65"/>
      <c r="B451" s="65"/>
      <c r="C451" s="66"/>
    </row>
    <row r="452" spans="1:3" ht="14.25">
      <c r="A452" s="65"/>
      <c r="B452" s="65"/>
      <c r="C452" s="66"/>
    </row>
    <row r="453" spans="1:3" ht="14.25">
      <c r="A453" s="65"/>
      <c r="B453" s="65"/>
      <c r="C453" s="66"/>
    </row>
    <row r="454" spans="1:3" ht="14.25">
      <c r="A454" s="65"/>
      <c r="B454" s="65"/>
      <c r="C454" s="66"/>
    </row>
    <row r="455" spans="1:3" ht="14.25">
      <c r="A455" s="65"/>
      <c r="B455" s="65"/>
      <c r="C455" s="66"/>
    </row>
    <row r="456" spans="1:3" ht="14.25">
      <c r="A456" s="65"/>
      <c r="B456" s="65"/>
      <c r="C456" s="66"/>
    </row>
    <row r="457" spans="1:3" ht="14.25">
      <c r="A457" s="65"/>
      <c r="B457" s="65"/>
      <c r="C457" s="66"/>
    </row>
    <row r="458" spans="1:3" ht="14.25">
      <c r="A458" s="65"/>
      <c r="B458" s="65"/>
      <c r="C458" s="66"/>
    </row>
    <row r="459" spans="1:3" ht="14.25">
      <c r="A459" s="65"/>
      <c r="B459" s="65"/>
      <c r="C459" s="66"/>
    </row>
    <row r="460" spans="1:3" ht="14.25">
      <c r="A460" s="65"/>
      <c r="B460" s="65"/>
      <c r="C460" s="66"/>
    </row>
    <row r="461" spans="1:3" ht="14.25">
      <c r="A461" s="65"/>
      <c r="B461" s="65"/>
      <c r="C461" s="66"/>
    </row>
    <row r="462" spans="1:3" ht="14.25">
      <c r="A462" s="65"/>
      <c r="B462" s="65"/>
      <c r="C462" s="66"/>
    </row>
    <row r="463" spans="1:3" ht="14.25">
      <c r="A463" s="65"/>
      <c r="B463" s="65"/>
      <c r="C463" s="66"/>
    </row>
    <row r="464" spans="1:3" ht="14.25">
      <c r="A464" s="65"/>
      <c r="B464" s="65"/>
      <c r="C464" s="66"/>
    </row>
    <row r="465" spans="1:3" ht="14.25">
      <c r="A465" s="65"/>
      <c r="B465" s="65"/>
      <c r="C465" s="66"/>
    </row>
    <row r="466" spans="1:3" ht="14.25">
      <c r="A466" s="65"/>
      <c r="B466" s="65"/>
      <c r="C466" s="66"/>
    </row>
    <row r="467" spans="1:3" ht="14.25">
      <c r="A467" s="65"/>
      <c r="B467" s="65"/>
      <c r="C467" s="66"/>
    </row>
    <row r="468" spans="1:3" ht="14.25">
      <c r="A468" s="65"/>
      <c r="B468" s="65"/>
      <c r="C468" s="66"/>
    </row>
    <row r="469" spans="1:3" ht="14.25">
      <c r="A469" s="65"/>
      <c r="B469" s="65"/>
      <c r="C469" s="66"/>
    </row>
    <row r="470" spans="1:3" ht="14.25">
      <c r="A470" s="65"/>
      <c r="B470" s="65"/>
      <c r="C470" s="66"/>
    </row>
    <row r="471" spans="1:3" ht="14.25">
      <c r="A471" s="65"/>
      <c r="B471" s="65"/>
      <c r="C471" s="66"/>
    </row>
    <row r="472" spans="1:3" ht="14.25">
      <c r="A472" s="65"/>
      <c r="B472" s="65"/>
      <c r="C472" s="66"/>
    </row>
    <row r="473" spans="1:3" ht="14.25">
      <c r="A473" s="65"/>
      <c r="B473" s="65"/>
      <c r="C473" s="66"/>
    </row>
    <row r="474" spans="1:3" ht="14.25">
      <c r="A474" s="65"/>
      <c r="B474" s="65"/>
      <c r="C474" s="66"/>
    </row>
    <row r="475" spans="1:3" ht="14.25">
      <c r="A475" s="65"/>
      <c r="B475" s="65"/>
      <c r="C475" s="66"/>
    </row>
    <row r="476" spans="1:3" ht="14.25">
      <c r="A476" s="65"/>
      <c r="B476" s="65"/>
      <c r="C476" s="66"/>
    </row>
    <row r="477" spans="1:3" ht="14.25">
      <c r="A477" s="65"/>
      <c r="B477" s="65"/>
      <c r="C477" s="66"/>
    </row>
    <row r="478" spans="1:3" ht="14.25">
      <c r="A478" s="65"/>
      <c r="B478" s="65"/>
      <c r="C478" s="66"/>
    </row>
    <row r="479" spans="1:3" ht="14.25">
      <c r="A479" s="65"/>
      <c r="B479" s="65"/>
      <c r="C479" s="66"/>
    </row>
    <row r="480" spans="1:3" ht="14.25">
      <c r="A480" s="65"/>
      <c r="B480" s="65"/>
      <c r="C480" s="66"/>
    </row>
    <row r="481" spans="1:3" ht="14.25">
      <c r="A481" s="65"/>
      <c r="B481" s="65"/>
      <c r="C481" s="66"/>
    </row>
    <row r="482" spans="1:3" ht="14.25">
      <c r="A482" s="65"/>
      <c r="B482" s="65"/>
      <c r="C482" s="66"/>
    </row>
    <row r="483" spans="1:3" ht="14.25">
      <c r="A483" s="65"/>
      <c r="B483" s="65"/>
      <c r="C483" s="66"/>
    </row>
    <row r="484" spans="1:3" ht="14.25">
      <c r="A484" s="65"/>
      <c r="B484" s="65"/>
      <c r="C484" s="66"/>
    </row>
    <row r="485" spans="1:3" ht="14.25">
      <c r="A485" s="65"/>
      <c r="B485" s="65"/>
      <c r="C485" s="66"/>
    </row>
    <row r="486" spans="1:3" ht="14.25">
      <c r="A486" s="65"/>
      <c r="B486" s="65"/>
      <c r="C486" s="66"/>
    </row>
    <row r="487" spans="1:3" ht="14.25">
      <c r="A487" s="65"/>
      <c r="B487" s="65"/>
      <c r="C487" s="66"/>
    </row>
    <row r="488" spans="1:3" ht="14.25">
      <c r="A488" s="65"/>
      <c r="B488" s="65"/>
      <c r="C488" s="66"/>
    </row>
    <row r="489" spans="1:3" ht="14.25">
      <c r="A489" s="65"/>
      <c r="B489" s="65"/>
      <c r="C489" s="66"/>
    </row>
    <row r="490" spans="1:3" ht="14.25">
      <c r="A490" s="65"/>
      <c r="B490" s="65"/>
      <c r="C490" s="66"/>
    </row>
    <row r="491" spans="1:3" ht="14.25">
      <c r="A491" s="65"/>
      <c r="B491" s="65"/>
      <c r="C491" s="66"/>
    </row>
    <row r="492" spans="1:3" ht="14.25">
      <c r="A492" s="65"/>
      <c r="B492" s="65"/>
      <c r="C492" s="66"/>
    </row>
    <row r="493" spans="1:3" ht="14.25">
      <c r="A493" s="65"/>
      <c r="B493" s="65"/>
      <c r="C493" s="66"/>
    </row>
    <row r="494" spans="1:3" ht="14.25">
      <c r="A494" s="65"/>
      <c r="B494" s="65"/>
      <c r="C494" s="66"/>
    </row>
    <row r="495" spans="1:3" ht="14.25">
      <c r="A495" s="65"/>
      <c r="B495" s="65"/>
      <c r="C495" s="66"/>
    </row>
    <row r="496" spans="1:3" ht="14.25">
      <c r="A496" s="65"/>
      <c r="B496" s="65"/>
      <c r="C496" s="66"/>
    </row>
    <row r="497" spans="1:3" ht="14.25">
      <c r="A497" s="65"/>
      <c r="B497" s="65"/>
      <c r="C497" s="66"/>
    </row>
    <row r="498" spans="1:3" ht="14.25">
      <c r="A498" s="65"/>
      <c r="B498" s="65"/>
      <c r="C498" s="66"/>
    </row>
    <row r="499" spans="1:3" ht="14.25">
      <c r="A499" s="65"/>
      <c r="B499" s="65"/>
      <c r="C499" s="66"/>
    </row>
    <row r="500" spans="1:3" ht="14.25">
      <c r="A500" s="65"/>
      <c r="B500" s="65"/>
      <c r="C500" s="66"/>
    </row>
    <row r="501" spans="1:3" ht="14.25">
      <c r="A501" s="65"/>
      <c r="B501" s="65"/>
      <c r="C501" s="66"/>
    </row>
    <row r="502" spans="1:3" ht="14.25">
      <c r="A502" s="65"/>
      <c r="B502" s="65"/>
      <c r="C502" s="66"/>
    </row>
    <row r="503" spans="1:3" ht="14.25">
      <c r="A503" s="65"/>
      <c r="B503" s="65"/>
      <c r="C503" s="66"/>
    </row>
    <row r="504" spans="1:3" ht="14.25">
      <c r="A504" s="65"/>
      <c r="B504" s="65"/>
      <c r="C504" s="66"/>
    </row>
    <row r="505" spans="1:3" ht="14.25">
      <c r="A505" s="65"/>
      <c r="B505" s="65"/>
      <c r="C505" s="66"/>
    </row>
    <row r="506" spans="1:3" ht="14.25">
      <c r="A506" s="65"/>
      <c r="B506" s="65"/>
      <c r="C506" s="66"/>
    </row>
    <row r="507" spans="1:3" ht="14.25">
      <c r="A507" s="65"/>
      <c r="B507" s="65"/>
      <c r="C507" s="66"/>
    </row>
    <row r="508" spans="1:3" ht="14.25">
      <c r="A508" s="65"/>
      <c r="B508" s="65"/>
      <c r="C508" s="66"/>
    </row>
    <row r="509" spans="1:3" ht="14.25">
      <c r="A509" s="65"/>
      <c r="B509" s="65"/>
      <c r="C509" s="66"/>
    </row>
    <row r="510" spans="1:3" ht="14.25">
      <c r="A510" s="65"/>
      <c r="B510" s="65"/>
      <c r="C510" s="66"/>
    </row>
    <row r="511" spans="1:3" ht="14.25">
      <c r="A511" s="65"/>
      <c r="B511" s="65"/>
      <c r="C511" s="66"/>
    </row>
    <row r="512" spans="1:3" ht="14.25">
      <c r="A512" s="65"/>
      <c r="B512" s="65"/>
      <c r="C512" s="66"/>
    </row>
    <row r="513" spans="1:3" ht="14.25">
      <c r="A513" s="65"/>
      <c r="B513" s="65"/>
      <c r="C513" s="66"/>
    </row>
    <row r="514" spans="1:3" ht="14.25">
      <c r="A514" s="65"/>
      <c r="B514" s="65"/>
      <c r="C514" s="66"/>
    </row>
    <row r="515" spans="1:3" ht="14.25">
      <c r="A515" s="65"/>
      <c r="B515" s="65"/>
      <c r="C515" s="66"/>
    </row>
    <row r="516" spans="1:3" ht="14.25">
      <c r="A516" s="65"/>
      <c r="B516" s="65"/>
      <c r="C516" s="66"/>
    </row>
    <row r="517" spans="1:3" ht="14.25">
      <c r="A517" s="65"/>
      <c r="B517" s="65"/>
      <c r="C517" s="66"/>
    </row>
    <row r="518" spans="1:3" ht="14.25">
      <c r="A518" s="65"/>
      <c r="B518" s="65"/>
      <c r="C518" s="66"/>
    </row>
    <row r="519" spans="1:3" ht="14.25">
      <c r="A519" s="65"/>
      <c r="B519" s="65"/>
      <c r="C519" s="66"/>
    </row>
    <row r="520" spans="1:3" ht="14.25">
      <c r="A520" s="65"/>
      <c r="B520" s="65"/>
      <c r="C520" s="66"/>
    </row>
    <row r="521" spans="1:3" ht="14.25">
      <c r="A521" s="65"/>
      <c r="B521" s="65"/>
      <c r="C521" s="66"/>
    </row>
    <row r="522" spans="1:3" ht="14.25">
      <c r="A522" s="65"/>
      <c r="B522" s="65"/>
      <c r="C522" s="66"/>
    </row>
    <row r="523" spans="1:3" ht="14.25">
      <c r="A523" s="65"/>
      <c r="B523" s="65"/>
      <c r="C523" s="66"/>
    </row>
    <row r="524" spans="1:3" ht="14.25">
      <c r="A524" s="65"/>
      <c r="B524" s="65"/>
      <c r="C524" s="66"/>
    </row>
    <row r="525" spans="1:3" ht="14.25">
      <c r="A525" s="65"/>
      <c r="B525" s="65"/>
      <c r="C525" s="66"/>
    </row>
    <row r="526" spans="1:3" ht="14.25">
      <c r="A526" s="65"/>
      <c r="B526" s="65"/>
      <c r="C526" s="66"/>
    </row>
    <row r="527" spans="1:3" ht="14.25">
      <c r="A527" s="65"/>
      <c r="B527" s="65"/>
      <c r="C527" s="66"/>
    </row>
    <row r="528" spans="1:3" ht="14.25">
      <c r="A528" s="65"/>
      <c r="B528" s="65"/>
      <c r="C528" s="66"/>
    </row>
    <row r="529" spans="1:3" ht="14.25">
      <c r="A529" s="65"/>
      <c r="B529" s="65"/>
      <c r="C529" s="66"/>
    </row>
    <row r="530" spans="1:3" ht="14.25">
      <c r="A530" s="65"/>
      <c r="B530" s="65"/>
      <c r="C530" s="66"/>
    </row>
    <row r="531" spans="1:3" ht="14.25">
      <c r="A531" s="65"/>
      <c r="B531" s="65"/>
      <c r="C531" s="66"/>
    </row>
    <row r="532" spans="1:3" ht="14.25">
      <c r="A532" s="65"/>
      <c r="B532" s="65"/>
      <c r="C532" s="66"/>
    </row>
    <row r="533" spans="1:3" ht="14.25">
      <c r="A533" s="65"/>
      <c r="B533" s="65"/>
      <c r="C533" s="66"/>
    </row>
    <row r="534" spans="1:3" ht="14.25">
      <c r="A534" s="65"/>
      <c r="B534" s="65"/>
      <c r="C534" s="66"/>
    </row>
    <row r="535" spans="1:3" ht="14.25">
      <c r="A535" s="65"/>
      <c r="B535" s="65"/>
      <c r="C535" s="66"/>
    </row>
    <row r="536" spans="1:3" ht="14.25">
      <c r="A536" s="65"/>
      <c r="B536" s="65"/>
      <c r="C536" s="66"/>
    </row>
    <row r="537" spans="1:3" ht="14.25">
      <c r="A537" s="65"/>
      <c r="B537" s="65"/>
      <c r="C537" s="66"/>
    </row>
    <row r="538" spans="1:3" ht="14.25">
      <c r="A538" s="65"/>
      <c r="B538" s="65"/>
      <c r="C538" s="66"/>
    </row>
    <row r="539" spans="1:3" ht="14.25">
      <c r="A539" s="65"/>
      <c r="B539" s="65"/>
      <c r="C539" s="66"/>
    </row>
    <row r="540" spans="1:3" ht="14.25">
      <c r="A540" s="65"/>
      <c r="B540" s="65"/>
      <c r="C540" s="66"/>
    </row>
    <row r="541" spans="1:3" ht="14.25">
      <c r="A541" s="65"/>
      <c r="B541" s="65"/>
      <c r="C541" s="66"/>
    </row>
    <row r="542" spans="1:3" ht="14.25">
      <c r="A542" s="65"/>
      <c r="B542" s="65"/>
      <c r="C542" s="66"/>
    </row>
    <row r="543" spans="1:3" ht="14.25">
      <c r="A543" s="65"/>
      <c r="B543" s="65"/>
      <c r="C543" s="66"/>
    </row>
    <row r="544" spans="1:3" ht="14.25">
      <c r="A544" s="65"/>
      <c r="B544" s="65"/>
      <c r="C544" s="66"/>
    </row>
    <row r="545" spans="1:3" ht="14.25">
      <c r="A545" s="65"/>
      <c r="B545" s="65"/>
      <c r="C545" s="66"/>
    </row>
    <row r="546" spans="1:3" ht="14.25">
      <c r="A546" s="65"/>
      <c r="B546" s="65"/>
      <c r="C546" s="66"/>
    </row>
    <row r="547" spans="1:3" ht="14.25">
      <c r="A547" s="65"/>
      <c r="B547" s="65"/>
      <c r="C547" s="66"/>
    </row>
    <row r="548" spans="1:3" ht="14.25">
      <c r="A548" s="65"/>
      <c r="B548" s="65"/>
      <c r="C548" s="66"/>
    </row>
    <row r="549" spans="1:3" ht="14.25">
      <c r="A549" s="65"/>
      <c r="B549" s="65"/>
      <c r="C549" s="66"/>
    </row>
    <row r="550" spans="1:3" ht="14.25">
      <c r="A550" s="65"/>
      <c r="B550" s="65"/>
      <c r="C550" s="66"/>
    </row>
    <row r="551" spans="1:3" ht="14.25">
      <c r="A551" s="65"/>
      <c r="B551" s="65"/>
      <c r="C551" s="66"/>
    </row>
    <row r="552" spans="1:3" ht="14.25">
      <c r="A552" s="65"/>
      <c r="B552" s="65"/>
      <c r="C552" s="66"/>
    </row>
    <row r="553" spans="1:3" ht="14.25">
      <c r="A553" s="65"/>
      <c r="B553" s="65"/>
      <c r="C553" s="66"/>
    </row>
    <row r="554" spans="1:3" ht="14.25">
      <c r="A554" s="65"/>
      <c r="B554" s="65"/>
      <c r="C554" s="66"/>
    </row>
    <row r="555" spans="1:3" ht="14.25">
      <c r="A555" s="65"/>
      <c r="B555" s="65"/>
      <c r="C555" s="66"/>
    </row>
    <row r="556" spans="1:3" ht="14.25">
      <c r="A556" s="65"/>
      <c r="B556" s="65"/>
      <c r="C556" s="66"/>
    </row>
    <row r="557" spans="1:3" ht="14.25">
      <c r="A557" s="65"/>
      <c r="B557" s="65"/>
      <c r="C557" s="66"/>
    </row>
    <row r="558" spans="1:3" ht="14.25">
      <c r="A558" s="65"/>
      <c r="B558" s="65"/>
      <c r="C558" s="66"/>
    </row>
    <row r="559" spans="1:3" ht="14.25">
      <c r="A559" s="65"/>
      <c r="B559" s="65"/>
      <c r="C559" s="66"/>
    </row>
    <row r="560" spans="1:3" ht="14.25">
      <c r="A560" s="65"/>
      <c r="B560" s="65"/>
      <c r="C560" s="66"/>
    </row>
    <row r="561" spans="1:3" ht="14.25">
      <c r="A561" s="65"/>
      <c r="B561" s="65"/>
      <c r="C561" s="66"/>
    </row>
    <row r="562" spans="1:3" ht="14.25">
      <c r="A562" s="65"/>
      <c r="B562" s="65"/>
      <c r="C562" s="66"/>
    </row>
    <row r="563" spans="1:3" ht="14.25">
      <c r="A563" s="65"/>
      <c r="B563" s="65"/>
      <c r="C563" s="66"/>
    </row>
    <row r="564" spans="1:3" ht="14.25">
      <c r="A564" s="65"/>
      <c r="B564" s="65"/>
      <c r="C564" s="66"/>
    </row>
    <row r="565" spans="1:3" ht="14.25">
      <c r="A565" s="65"/>
      <c r="B565" s="65"/>
      <c r="C565" s="66"/>
    </row>
    <row r="566" spans="1:3" ht="14.25">
      <c r="A566" s="65"/>
      <c r="B566" s="65"/>
      <c r="C566" s="66"/>
    </row>
    <row r="567" spans="1:3" ht="14.25">
      <c r="A567" s="65"/>
      <c r="B567" s="65"/>
      <c r="C567" s="66"/>
    </row>
    <row r="568" spans="1:3" ht="14.25">
      <c r="A568" s="65"/>
      <c r="B568" s="65"/>
      <c r="C568" s="66"/>
    </row>
    <row r="569" spans="1:3" ht="14.25">
      <c r="A569" s="65"/>
      <c r="B569" s="65"/>
      <c r="C569" s="66"/>
    </row>
    <row r="570" spans="1:3" ht="14.25">
      <c r="A570" s="65"/>
      <c r="B570" s="65"/>
      <c r="C570" s="66"/>
    </row>
    <row r="571" spans="1:3" ht="14.25">
      <c r="A571" s="65"/>
      <c r="B571" s="65"/>
      <c r="C571" s="66"/>
    </row>
    <row r="572" spans="1:3" ht="14.25">
      <c r="A572" s="65"/>
      <c r="B572" s="65"/>
      <c r="C572" s="66"/>
    </row>
    <row r="573" spans="1:3" ht="14.25">
      <c r="A573" s="65"/>
      <c r="B573" s="65"/>
      <c r="C573" s="66"/>
    </row>
    <row r="574" spans="1:3" ht="14.25">
      <c r="A574" s="65"/>
      <c r="B574" s="65"/>
      <c r="C574" s="66"/>
    </row>
    <row r="575" spans="1:3" ht="14.25">
      <c r="A575" s="65"/>
      <c r="B575" s="65"/>
      <c r="C575" s="66"/>
    </row>
    <row r="576" spans="1:3" ht="14.25">
      <c r="A576" s="65"/>
      <c r="B576" s="65"/>
      <c r="C576" s="66"/>
    </row>
    <row r="577" spans="1:3" ht="14.25">
      <c r="A577" s="65"/>
      <c r="B577" s="65"/>
      <c r="C577" s="66"/>
    </row>
    <row r="578" spans="1:3" ht="14.25">
      <c r="A578" s="65"/>
      <c r="B578" s="65"/>
      <c r="C578" s="66"/>
    </row>
    <row r="579" spans="1:3" ht="14.25">
      <c r="A579" s="65"/>
      <c r="B579" s="65"/>
      <c r="C579" s="66"/>
    </row>
    <row r="580" spans="1:3" ht="14.25">
      <c r="A580" s="65"/>
      <c r="B580" s="65"/>
      <c r="C580" s="66"/>
    </row>
    <row r="581" spans="1:3" ht="14.25">
      <c r="A581" s="65"/>
      <c r="B581" s="65"/>
      <c r="C581" s="66"/>
    </row>
    <row r="582" spans="1:3" ht="14.25">
      <c r="A582" s="65"/>
      <c r="B582" s="65"/>
      <c r="C582" s="66"/>
    </row>
    <row r="583" spans="1:3" ht="14.25">
      <c r="A583" s="65"/>
      <c r="B583" s="65"/>
      <c r="C583" s="66"/>
    </row>
    <row r="584" spans="1:3" ht="14.25">
      <c r="A584" s="65"/>
      <c r="B584" s="65"/>
      <c r="C584" s="66"/>
    </row>
    <row r="585" spans="1:3" ht="14.25">
      <c r="A585" s="65"/>
      <c r="B585" s="65"/>
      <c r="C585" s="66"/>
    </row>
    <row r="586" spans="1:3" ht="14.25">
      <c r="A586" s="65"/>
      <c r="B586" s="65"/>
      <c r="C586" s="66"/>
    </row>
    <row r="587" spans="1:3" ht="14.25">
      <c r="A587" s="65"/>
      <c r="B587" s="65"/>
      <c r="C587" s="66"/>
    </row>
    <row r="588" spans="1:3" ht="14.25">
      <c r="A588" s="65"/>
      <c r="B588" s="65"/>
      <c r="C588" s="66"/>
    </row>
    <row r="589" spans="1:3" ht="14.25">
      <c r="A589" s="65"/>
      <c r="B589" s="65"/>
      <c r="C589" s="66"/>
    </row>
    <row r="590" spans="1:3" ht="14.25">
      <c r="A590" s="65"/>
      <c r="B590" s="65"/>
      <c r="C590" s="66"/>
    </row>
    <row r="591" spans="1:3" ht="14.25">
      <c r="A591" s="65"/>
      <c r="B591" s="65"/>
      <c r="C591" s="66"/>
    </row>
    <row r="592" spans="1:3" ht="14.25">
      <c r="A592" s="65"/>
      <c r="B592" s="65"/>
      <c r="C592" s="66"/>
    </row>
    <row r="593" spans="1:3" ht="14.25">
      <c r="A593" s="65"/>
      <c r="B593" s="65"/>
      <c r="C593" s="66"/>
    </row>
    <row r="594" spans="1:3" ht="14.25">
      <c r="A594" s="65"/>
      <c r="B594" s="65"/>
      <c r="C594" s="66"/>
    </row>
    <row r="595" spans="1:3" ht="14.25">
      <c r="A595" s="65"/>
      <c r="B595" s="65"/>
      <c r="C595" s="66"/>
    </row>
    <row r="596" spans="1:3" ht="14.25">
      <c r="A596" s="65"/>
      <c r="B596" s="65"/>
      <c r="C596" s="66"/>
    </row>
    <row r="597" spans="1:3" ht="14.25">
      <c r="A597" s="65"/>
      <c r="B597" s="65"/>
      <c r="C597" s="66"/>
    </row>
    <row r="598" spans="1:3" ht="14.25">
      <c r="A598" s="65"/>
      <c r="B598" s="65"/>
      <c r="C598" s="66"/>
    </row>
    <row r="599" spans="1:3" ht="14.25">
      <c r="A599" s="65"/>
      <c r="B599" s="65"/>
      <c r="C599" s="66"/>
    </row>
    <row r="600" spans="1:3" ht="14.25">
      <c r="A600" s="65"/>
      <c r="B600" s="65"/>
      <c r="C600" s="66"/>
    </row>
    <row r="601" spans="1:3" ht="14.25">
      <c r="A601" s="65"/>
      <c r="B601" s="65"/>
      <c r="C601" s="66"/>
    </row>
    <row r="602" spans="1:3" ht="14.25">
      <c r="A602" s="65"/>
      <c r="B602" s="65"/>
      <c r="C602" s="66"/>
    </row>
    <row r="603" spans="1:3" ht="14.25">
      <c r="A603" s="65"/>
      <c r="B603" s="65"/>
      <c r="C603" s="66"/>
    </row>
    <row r="604" spans="1:3" ht="14.25">
      <c r="A604" s="65"/>
      <c r="B604" s="65"/>
      <c r="C604" s="66"/>
    </row>
    <row r="605" spans="1:3" ht="14.25">
      <c r="A605" s="65"/>
      <c r="B605" s="65"/>
      <c r="C605" s="66"/>
    </row>
    <row r="606" spans="1:3" ht="14.25">
      <c r="A606" s="65"/>
      <c r="B606" s="65"/>
      <c r="C606" s="66"/>
    </row>
    <row r="607" spans="1:3" ht="14.25">
      <c r="A607" s="65"/>
      <c r="B607" s="65"/>
      <c r="C607" s="66"/>
    </row>
    <row r="608" spans="1:3" ht="14.25">
      <c r="A608" s="65"/>
      <c r="B608" s="65"/>
      <c r="C608" s="66"/>
    </row>
    <row r="609" spans="1:3" ht="14.25">
      <c r="A609" s="65"/>
      <c r="B609" s="65"/>
      <c r="C609" s="66"/>
    </row>
    <row r="610" spans="1:3" ht="14.25">
      <c r="A610" s="65"/>
      <c r="B610" s="65"/>
      <c r="C610" s="66"/>
    </row>
    <row r="611" spans="1:3" ht="14.25">
      <c r="A611" s="65"/>
      <c r="B611" s="65"/>
      <c r="C611" s="66"/>
    </row>
    <row r="612" spans="1:3" ht="14.25">
      <c r="A612" s="65"/>
      <c r="B612" s="65"/>
      <c r="C612" s="66"/>
    </row>
    <row r="613" spans="1:3" ht="14.25">
      <c r="A613" s="65"/>
      <c r="B613" s="65"/>
      <c r="C613" s="66"/>
    </row>
    <row r="614" spans="1:3" ht="14.25">
      <c r="A614" s="65"/>
      <c r="B614" s="65"/>
      <c r="C614" s="66"/>
    </row>
    <row r="615" spans="1:3" ht="14.25">
      <c r="A615" s="65"/>
      <c r="B615" s="65"/>
      <c r="C615" s="66"/>
    </row>
    <row r="616" spans="1:3" ht="14.25">
      <c r="A616" s="65"/>
      <c r="B616" s="65"/>
      <c r="C616" s="66"/>
    </row>
    <row r="617" spans="1:3" ht="14.25">
      <c r="A617" s="65"/>
      <c r="B617" s="65"/>
      <c r="C617" s="66"/>
    </row>
    <row r="618" spans="1:3" ht="14.25">
      <c r="A618" s="65"/>
      <c r="B618" s="65"/>
      <c r="C618" s="66"/>
    </row>
    <row r="619" spans="1:3" ht="14.25">
      <c r="A619" s="65"/>
      <c r="B619" s="65"/>
      <c r="C619" s="66"/>
    </row>
    <row r="620" spans="1:3" ht="14.25">
      <c r="A620" s="65"/>
      <c r="B620" s="65"/>
      <c r="C620" s="66"/>
    </row>
    <row r="621" spans="1:3" ht="14.25">
      <c r="A621" s="65"/>
      <c r="B621" s="65"/>
      <c r="C621" s="66"/>
    </row>
    <row r="622" spans="1:3" ht="14.25">
      <c r="A622" s="65"/>
      <c r="B622" s="65"/>
      <c r="C622" s="66"/>
    </row>
    <row r="623" spans="1:3" ht="14.25">
      <c r="A623" s="65"/>
      <c r="B623" s="65"/>
      <c r="C623" s="66"/>
    </row>
    <row r="624" spans="1:3" ht="14.25">
      <c r="A624" s="65"/>
      <c r="B624" s="65"/>
      <c r="C624" s="66"/>
    </row>
    <row r="625" spans="1:3" ht="14.25">
      <c r="A625" s="65"/>
      <c r="B625" s="65"/>
      <c r="C625" s="66"/>
    </row>
    <row r="626" spans="1:3" ht="14.25">
      <c r="A626" s="65"/>
      <c r="B626" s="65"/>
      <c r="C626" s="66"/>
    </row>
    <row r="627" spans="1:3" ht="14.25">
      <c r="A627" s="65"/>
      <c r="B627" s="65"/>
      <c r="C627" s="66"/>
    </row>
    <row r="628" spans="1:3" ht="14.25">
      <c r="A628" s="65"/>
      <c r="B628" s="65"/>
      <c r="C628" s="66"/>
    </row>
    <row r="629" spans="1:3" ht="14.25">
      <c r="A629" s="65"/>
      <c r="B629" s="65"/>
      <c r="C629" s="66"/>
    </row>
    <row r="630" spans="1:3" ht="14.25">
      <c r="A630" s="65"/>
      <c r="B630" s="65"/>
      <c r="C630" s="66"/>
    </row>
    <row r="631" spans="1:3" ht="14.25">
      <c r="A631" s="65"/>
      <c r="B631" s="65"/>
      <c r="C631" s="66"/>
    </row>
    <row r="632" spans="1:3" ht="14.25">
      <c r="A632" s="65"/>
      <c r="B632" s="65"/>
      <c r="C632" s="66"/>
    </row>
    <row r="633" spans="1:3" ht="14.25">
      <c r="A633" s="65"/>
      <c r="B633" s="65"/>
      <c r="C633" s="66"/>
    </row>
    <row r="634" spans="1:3" ht="14.25">
      <c r="A634" s="65"/>
      <c r="B634" s="65"/>
      <c r="C634" s="66"/>
    </row>
    <row r="635" spans="1:3" ht="14.25">
      <c r="A635" s="65"/>
      <c r="B635" s="65"/>
      <c r="C635" s="66"/>
    </row>
    <row r="636" spans="1:3" ht="14.25">
      <c r="A636" s="65"/>
      <c r="B636" s="65"/>
      <c r="C636" s="66"/>
    </row>
    <row r="637" spans="1:3" ht="14.25">
      <c r="A637" s="65"/>
      <c r="B637" s="65"/>
      <c r="C637" s="66"/>
    </row>
    <row r="638" spans="1:3" ht="14.25">
      <c r="A638" s="65"/>
      <c r="B638" s="65"/>
      <c r="C638" s="66"/>
    </row>
    <row r="639" spans="1:3" ht="14.25">
      <c r="A639" s="65"/>
      <c r="B639" s="65"/>
      <c r="C639" s="66"/>
    </row>
    <row r="640" spans="1:3" ht="14.25">
      <c r="A640" s="65"/>
      <c r="B640" s="65"/>
      <c r="C640" s="66"/>
    </row>
    <row r="641" spans="1:3" ht="14.25">
      <c r="A641" s="65"/>
      <c r="B641" s="65"/>
      <c r="C641" s="66"/>
    </row>
    <row r="642" spans="1:3" ht="14.25">
      <c r="A642" s="65"/>
      <c r="B642" s="65"/>
      <c r="C642" s="66"/>
    </row>
    <row r="643" spans="1:3" ht="14.25">
      <c r="A643" s="65"/>
      <c r="B643" s="65"/>
      <c r="C643" s="66"/>
    </row>
    <row r="644" spans="1:3" ht="14.25">
      <c r="A644" s="65"/>
      <c r="B644" s="65"/>
      <c r="C644" s="66"/>
    </row>
    <row r="645" spans="1:3" ht="14.25">
      <c r="A645" s="65"/>
      <c r="B645" s="65"/>
      <c r="C645" s="66"/>
    </row>
    <row r="646" spans="1:3" ht="14.25">
      <c r="A646" s="65"/>
      <c r="B646" s="65"/>
      <c r="C646" s="66"/>
    </row>
    <row r="647" spans="1:3" ht="14.25">
      <c r="A647" s="65"/>
      <c r="B647" s="65"/>
      <c r="C647" s="66"/>
    </row>
    <row r="648" spans="1:3" ht="14.25">
      <c r="A648" s="65"/>
      <c r="B648" s="65"/>
      <c r="C648" s="66"/>
    </row>
    <row r="649" spans="1:3" ht="14.25">
      <c r="A649" s="65"/>
      <c r="B649" s="65"/>
      <c r="C649" s="66"/>
    </row>
    <row r="650" spans="1:3" ht="14.25">
      <c r="A650" s="65"/>
      <c r="B650" s="65"/>
      <c r="C650" s="66"/>
    </row>
    <row r="651" spans="1:3" ht="14.25">
      <c r="A651" s="65"/>
      <c r="B651" s="65"/>
      <c r="C651" s="66"/>
    </row>
    <row r="652" spans="1:3" ht="14.25">
      <c r="A652" s="65"/>
      <c r="B652" s="65"/>
      <c r="C652" s="66"/>
    </row>
    <row r="653" spans="1:3" ht="14.25">
      <c r="A653" s="65"/>
      <c r="B653" s="65"/>
      <c r="C653" s="66"/>
    </row>
    <row r="654" spans="1:3" ht="14.25">
      <c r="A654" s="65"/>
      <c r="B654" s="65"/>
      <c r="C654" s="66"/>
    </row>
    <row r="655" spans="1:3" ht="14.25">
      <c r="A655" s="65"/>
      <c r="B655" s="65"/>
      <c r="C655" s="66"/>
    </row>
    <row r="656" spans="1:3" ht="14.25">
      <c r="A656" s="65"/>
      <c r="B656" s="65"/>
      <c r="C656" s="66"/>
    </row>
    <row r="657" spans="1:3" ht="14.25">
      <c r="A657" s="65"/>
      <c r="B657" s="65"/>
      <c r="C657" s="66"/>
    </row>
    <row r="658" spans="1:3" ht="14.25">
      <c r="A658" s="65"/>
      <c r="B658" s="65"/>
      <c r="C658" s="66"/>
    </row>
    <row r="659" spans="1:3" ht="14.25">
      <c r="A659" s="65"/>
      <c r="B659" s="65"/>
      <c r="C659" s="66"/>
    </row>
    <row r="660" spans="1:3" ht="14.25">
      <c r="A660" s="65"/>
      <c r="B660" s="65"/>
      <c r="C660" s="66"/>
    </row>
    <row r="661" spans="1:3" ht="14.25">
      <c r="A661" s="65"/>
      <c r="B661" s="65"/>
      <c r="C661" s="66"/>
    </row>
    <row r="662" spans="1:3" ht="14.25">
      <c r="A662" s="65"/>
      <c r="B662" s="65"/>
      <c r="C662" s="66"/>
    </row>
    <row r="663" spans="1:3" ht="14.25">
      <c r="A663" s="65"/>
      <c r="B663" s="65"/>
      <c r="C663" s="66"/>
    </row>
    <row r="664" spans="1:3" ht="14.25">
      <c r="A664" s="65"/>
      <c r="B664" s="65"/>
      <c r="C664" s="66"/>
    </row>
    <row r="665" spans="1:3" ht="14.25">
      <c r="A665" s="65"/>
      <c r="B665" s="65"/>
      <c r="C665" s="66"/>
    </row>
    <row r="666" spans="1:3" ht="14.25">
      <c r="A666" s="65"/>
      <c r="B666" s="65"/>
      <c r="C666" s="66"/>
    </row>
    <row r="667" spans="1:3" ht="14.25">
      <c r="A667" s="65"/>
      <c r="B667" s="65"/>
      <c r="C667" s="66"/>
    </row>
    <row r="668" spans="1:3" ht="14.25">
      <c r="A668" s="65"/>
      <c r="B668" s="65"/>
      <c r="C668" s="66"/>
    </row>
    <row r="669" spans="1:3" ht="14.25">
      <c r="A669" s="65"/>
      <c r="B669" s="65"/>
      <c r="C669" s="66"/>
    </row>
    <row r="670" spans="1:3" ht="14.25">
      <c r="A670" s="65"/>
      <c r="B670" s="65"/>
      <c r="C670" s="66"/>
    </row>
    <row r="671" spans="1:3" ht="14.25">
      <c r="A671" s="65"/>
      <c r="B671" s="65"/>
      <c r="C671" s="66"/>
    </row>
    <row r="672" spans="1:3" ht="14.25">
      <c r="A672" s="65"/>
      <c r="B672" s="65"/>
      <c r="C672" s="66"/>
    </row>
    <row r="673" spans="1:3" ht="14.25">
      <c r="A673" s="65"/>
      <c r="B673" s="65"/>
      <c r="C673" s="66"/>
    </row>
    <row r="674" spans="1:3" ht="14.25">
      <c r="A674" s="65"/>
      <c r="B674" s="65"/>
      <c r="C674" s="66"/>
    </row>
    <row r="675" spans="1:3" ht="14.25">
      <c r="A675" s="65"/>
      <c r="B675" s="65"/>
      <c r="C675" s="66"/>
    </row>
    <row r="676" spans="1:3" ht="14.25">
      <c r="A676" s="65"/>
      <c r="B676" s="65"/>
      <c r="C676" s="66"/>
    </row>
    <row r="677" spans="1:3" ht="14.25">
      <c r="A677" s="65"/>
      <c r="B677" s="65"/>
      <c r="C677" s="66"/>
    </row>
    <row r="678" spans="1:3" ht="14.25">
      <c r="A678" s="65"/>
      <c r="B678" s="65"/>
      <c r="C678" s="66"/>
    </row>
    <row r="679" spans="1:3" ht="14.25">
      <c r="A679" s="65"/>
      <c r="B679" s="65"/>
      <c r="C679" s="66"/>
    </row>
    <row r="680" spans="1:3" ht="14.25">
      <c r="A680" s="65"/>
      <c r="B680" s="65"/>
      <c r="C680" s="66"/>
    </row>
    <row r="681" spans="1:3" ht="14.25">
      <c r="A681" s="65"/>
      <c r="B681" s="65"/>
      <c r="C681" s="66"/>
    </row>
    <row r="682" spans="1:3" ht="14.25">
      <c r="A682" s="65"/>
      <c r="B682" s="65"/>
      <c r="C682" s="66"/>
    </row>
    <row r="683" spans="1:3" ht="14.25">
      <c r="A683" s="65"/>
      <c r="B683" s="65"/>
      <c r="C683" s="66"/>
    </row>
    <row r="684" spans="1:3" ht="14.25">
      <c r="A684" s="65"/>
      <c r="B684" s="65"/>
      <c r="C684" s="66"/>
    </row>
    <row r="685" spans="1:3" ht="14.25">
      <c r="A685" s="65"/>
      <c r="B685" s="65"/>
      <c r="C685" s="66"/>
    </row>
    <row r="686" spans="1:3" ht="14.25">
      <c r="A686" s="65"/>
      <c r="B686" s="65"/>
      <c r="C686" s="66"/>
    </row>
    <row r="687" spans="1:3" ht="14.25">
      <c r="A687" s="65"/>
      <c r="B687" s="65"/>
      <c r="C687" s="66"/>
    </row>
    <row r="688" spans="1:3" ht="14.25">
      <c r="A688" s="65"/>
      <c r="B688" s="65"/>
      <c r="C688" s="66"/>
    </row>
    <row r="689" spans="1:3" ht="14.25">
      <c r="A689" s="65"/>
      <c r="B689" s="65"/>
      <c r="C689" s="66"/>
    </row>
    <row r="690" spans="1:3" ht="14.25">
      <c r="A690" s="65"/>
      <c r="B690" s="65"/>
      <c r="C690" s="66"/>
    </row>
    <row r="691" spans="1:3" ht="14.25">
      <c r="A691" s="65"/>
      <c r="B691" s="65"/>
      <c r="C691" s="66"/>
    </row>
    <row r="692" spans="1:3" ht="14.25">
      <c r="A692" s="65"/>
      <c r="B692" s="65"/>
      <c r="C692" s="66"/>
    </row>
    <row r="693" spans="1:3" ht="14.25">
      <c r="A693" s="65"/>
      <c r="B693" s="65"/>
      <c r="C693" s="66"/>
    </row>
    <row r="694" spans="1:3" ht="14.25">
      <c r="A694" s="65"/>
      <c r="B694" s="65"/>
      <c r="C694" s="66"/>
    </row>
    <row r="695" spans="1:3" ht="14.25">
      <c r="A695" s="65"/>
      <c r="B695" s="65"/>
      <c r="C695" s="66"/>
    </row>
    <row r="696" spans="1:3" ht="14.25">
      <c r="A696" s="65"/>
      <c r="B696" s="65"/>
      <c r="C696" s="66"/>
    </row>
    <row r="697" spans="1:3" ht="14.25">
      <c r="A697" s="65"/>
      <c r="B697" s="65"/>
      <c r="C697" s="66"/>
    </row>
    <row r="698" spans="1:3" ht="14.25">
      <c r="A698" s="65"/>
      <c r="B698" s="65"/>
      <c r="C698" s="66"/>
    </row>
    <row r="699" spans="1:3" ht="14.25">
      <c r="A699" s="65"/>
      <c r="B699" s="65"/>
      <c r="C699" s="66"/>
    </row>
    <row r="700" spans="1:3" ht="14.25">
      <c r="A700" s="65"/>
      <c r="B700" s="65"/>
      <c r="C700" s="66"/>
    </row>
    <row r="701" spans="1:3" ht="14.25">
      <c r="A701" s="65"/>
      <c r="B701" s="65"/>
      <c r="C701" s="66"/>
    </row>
    <row r="702" spans="1:3" ht="14.25">
      <c r="A702" s="65"/>
      <c r="B702" s="65"/>
      <c r="C702" s="66"/>
    </row>
    <row r="703" spans="1:3" ht="14.25">
      <c r="A703" s="65"/>
      <c r="B703" s="65"/>
      <c r="C703" s="66"/>
    </row>
    <row r="704" spans="1:3" ht="14.25">
      <c r="A704" s="65"/>
      <c r="B704" s="65"/>
      <c r="C704" s="66"/>
    </row>
    <row r="705" spans="1:3" ht="14.25">
      <c r="A705" s="65"/>
      <c r="B705" s="65"/>
      <c r="C705" s="66"/>
    </row>
    <row r="706" spans="1:3" ht="14.25">
      <c r="A706" s="65"/>
      <c r="B706" s="65"/>
      <c r="C706" s="66"/>
    </row>
    <row r="707" spans="1:3" ht="14.25">
      <c r="A707" s="65"/>
      <c r="B707" s="65"/>
      <c r="C707" s="66"/>
    </row>
    <row r="708" spans="1:3" ht="14.25">
      <c r="A708" s="65"/>
      <c r="B708" s="65"/>
      <c r="C708" s="66"/>
    </row>
    <row r="709" spans="1:3" ht="14.25">
      <c r="A709" s="65"/>
      <c r="B709" s="65"/>
      <c r="C709" s="66"/>
    </row>
    <row r="710" spans="1:3" ht="14.25">
      <c r="A710" s="65"/>
      <c r="B710" s="65"/>
      <c r="C710" s="66"/>
    </row>
    <row r="711" spans="1:3" ht="14.25">
      <c r="A711" s="65"/>
      <c r="B711" s="65"/>
      <c r="C711" s="66"/>
    </row>
    <row r="712" spans="1:3" ht="14.25">
      <c r="A712" s="65"/>
      <c r="B712" s="65"/>
      <c r="C712" s="66"/>
    </row>
    <row r="713" spans="1:3" ht="14.25">
      <c r="A713" s="65"/>
      <c r="B713" s="65"/>
      <c r="C713" s="66"/>
    </row>
    <row r="714" spans="1:3" ht="14.25">
      <c r="A714" s="65"/>
      <c r="B714" s="65"/>
      <c r="C714" s="66"/>
    </row>
    <row r="715" spans="1:3" ht="14.25">
      <c r="A715" s="65"/>
      <c r="B715" s="65"/>
      <c r="C715" s="66"/>
    </row>
    <row r="716" spans="1:3" ht="14.25">
      <c r="A716" s="65"/>
      <c r="B716" s="65"/>
      <c r="C716" s="66"/>
    </row>
    <row r="717" spans="1:3" ht="14.25">
      <c r="A717" s="65"/>
      <c r="B717" s="65"/>
      <c r="C717" s="66"/>
    </row>
    <row r="718" spans="1:3" ht="14.25">
      <c r="A718" s="65"/>
      <c r="B718" s="65"/>
      <c r="C718" s="66"/>
    </row>
    <row r="719" spans="1:3" ht="14.25">
      <c r="A719" s="65"/>
      <c r="B719" s="65"/>
      <c r="C719" s="66"/>
    </row>
    <row r="720" spans="1:3" ht="14.25">
      <c r="A720" s="65"/>
      <c r="B720" s="65"/>
      <c r="C720" s="66"/>
    </row>
    <row r="721" spans="1:3" ht="14.25">
      <c r="A721" s="65"/>
      <c r="B721" s="65"/>
      <c r="C721" s="66"/>
    </row>
    <row r="722" spans="1:3" ht="14.25">
      <c r="A722" s="65"/>
      <c r="B722" s="65"/>
      <c r="C722" s="66"/>
    </row>
    <row r="723" spans="1:3" ht="14.25">
      <c r="A723" s="65"/>
      <c r="B723" s="65"/>
      <c r="C723" s="66"/>
    </row>
    <row r="724" spans="1:3" ht="14.25">
      <c r="A724" s="65"/>
      <c r="B724" s="65"/>
      <c r="C724" s="66"/>
    </row>
    <row r="725" spans="1:3" ht="14.25">
      <c r="A725" s="65"/>
      <c r="B725" s="65"/>
      <c r="C725" s="66"/>
    </row>
    <row r="726" spans="1:3" ht="14.25">
      <c r="A726" s="65"/>
      <c r="B726" s="65"/>
      <c r="C726" s="66"/>
    </row>
    <row r="727" spans="1:3" ht="14.25">
      <c r="A727" s="65"/>
      <c r="B727" s="65"/>
      <c r="C727" s="66"/>
    </row>
    <row r="728" spans="1:3" ht="14.25">
      <c r="A728" s="65"/>
      <c r="B728" s="65"/>
      <c r="C728" s="66"/>
    </row>
    <row r="729" spans="1:3" ht="14.25">
      <c r="A729" s="65"/>
      <c r="B729" s="65"/>
      <c r="C729" s="66"/>
    </row>
    <row r="730" spans="1:3" ht="14.25">
      <c r="A730" s="65"/>
      <c r="B730" s="65"/>
      <c r="C730" s="66"/>
    </row>
    <row r="731" spans="1:3" ht="14.25">
      <c r="A731" s="65"/>
      <c r="B731" s="65"/>
      <c r="C731" s="66"/>
    </row>
    <row r="732" spans="1:3" ht="14.25">
      <c r="A732" s="65"/>
      <c r="B732" s="65"/>
      <c r="C732" s="66"/>
    </row>
    <row r="733" spans="1:3" ht="14.25">
      <c r="A733" s="65"/>
      <c r="B733" s="65"/>
      <c r="C733" s="66"/>
    </row>
    <row r="734" spans="1:3" ht="14.25">
      <c r="A734" s="65"/>
      <c r="B734" s="65"/>
      <c r="C734" s="66"/>
    </row>
    <row r="735" spans="1:3" ht="14.25">
      <c r="A735" s="65"/>
      <c r="B735" s="65"/>
      <c r="C735" s="66"/>
    </row>
    <row r="736" spans="1:3" ht="14.25">
      <c r="A736" s="65"/>
      <c r="B736" s="65"/>
      <c r="C736" s="66"/>
    </row>
    <row r="737" spans="1:3" ht="14.25">
      <c r="A737" s="65"/>
      <c r="B737" s="65"/>
      <c r="C737" s="66"/>
    </row>
    <row r="738" spans="1:3" ht="14.25">
      <c r="A738" s="65"/>
      <c r="B738" s="65"/>
      <c r="C738" s="66"/>
    </row>
    <row r="739" spans="1:3" ht="14.25">
      <c r="A739" s="65"/>
      <c r="B739" s="65"/>
      <c r="C739" s="66"/>
    </row>
    <row r="740" spans="1:3" ht="14.25">
      <c r="A740" s="65"/>
      <c r="B740" s="65"/>
      <c r="C740" s="66"/>
    </row>
    <row r="741" spans="1:3" ht="14.25">
      <c r="A741" s="65"/>
      <c r="B741" s="65"/>
      <c r="C741" s="66"/>
    </row>
    <row r="742" spans="1:3" ht="14.25">
      <c r="A742" s="65"/>
      <c r="B742" s="65"/>
      <c r="C742" s="66"/>
    </row>
    <row r="743" spans="1:3" ht="14.25">
      <c r="A743" s="65"/>
      <c r="B743" s="65"/>
      <c r="C743" s="66"/>
    </row>
    <row r="744" spans="1:3" ht="14.25">
      <c r="A744" s="65"/>
      <c r="B744" s="65"/>
      <c r="C744" s="66"/>
    </row>
    <row r="745" spans="1:3" ht="14.25">
      <c r="A745" s="65"/>
      <c r="B745" s="65"/>
      <c r="C745" s="66"/>
    </row>
    <row r="746" spans="1:3" ht="14.25">
      <c r="A746" s="65"/>
      <c r="B746" s="65"/>
      <c r="C746" s="66"/>
    </row>
    <row r="747" spans="1:3" ht="14.25">
      <c r="A747" s="65"/>
      <c r="B747" s="65"/>
      <c r="C747" s="66"/>
    </row>
    <row r="748" spans="1:3" ht="14.25">
      <c r="A748" s="65"/>
      <c r="B748" s="65"/>
      <c r="C748" s="66"/>
    </row>
    <row r="749" spans="1:3" ht="14.25">
      <c r="A749" s="65"/>
      <c r="B749" s="65"/>
      <c r="C749" s="66"/>
    </row>
    <row r="750" spans="1:3" ht="14.25">
      <c r="A750" s="65"/>
      <c r="B750" s="65"/>
      <c r="C750" s="66"/>
    </row>
    <row r="751" spans="1:3" ht="14.25">
      <c r="A751" s="65"/>
      <c r="B751" s="65"/>
      <c r="C751" s="66"/>
    </row>
    <row r="752" spans="1:3" ht="14.25">
      <c r="A752" s="65"/>
      <c r="B752" s="65"/>
      <c r="C752" s="66"/>
    </row>
    <row r="753" spans="1:3" ht="14.25">
      <c r="A753" s="65"/>
      <c r="B753" s="65"/>
      <c r="C753" s="66"/>
    </row>
    <row r="754" spans="1:3" ht="14.25">
      <c r="A754" s="65"/>
      <c r="B754" s="65"/>
      <c r="C754" s="66"/>
    </row>
    <row r="755" spans="1:3" ht="14.25">
      <c r="A755" s="65"/>
      <c r="B755" s="65"/>
      <c r="C755" s="66"/>
    </row>
    <row r="756" spans="1:3" ht="14.25">
      <c r="A756" s="65"/>
      <c r="B756" s="65"/>
      <c r="C756" s="66"/>
    </row>
    <row r="757" spans="1:3" ht="14.25">
      <c r="A757" s="65"/>
      <c r="B757" s="65"/>
      <c r="C757" s="66"/>
    </row>
    <row r="758" spans="1:3" ht="14.25">
      <c r="A758" s="65"/>
      <c r="B758" s="65"/>
      <c r="C758" s="66"/>
    </row>
    <row r="759" spans="1:3" ht="14.25">
      <c r="A759" s="65"/>
      <c r="B759" s="65"/>
      <c r="C759" s="66"/>
    </row>
    <row r="760" spans="1:3" ht="14.25">
      <c r="A760" s="65"/>
      <c r="B760" s="65"/>
      <c r="C760" s="66"/>
    </row>
    <row r="761" spans="1:3" ht="14.25">
      <c r="A761" s="65"/>
      <c r="B761" s="65"/>
      <c r="C761" s="66"/>
    </row>
    <row r="762" spans="1:3" ht="14.25">
      <c r="A762" s="65"/>
      <c r="B762" s="65"/>
      <c r="C762" s="66"/>
    </row>
    <row r="763" spans="1:3" ht="14.25">
      <c r="A763" s="65"/>
      <c r="B763" s="65"/>
      <c r="C763" s="66"/>
    </row>
    <row r="764" spans="1:3" ht="14.25">
      <c r="A764" s="65"/>
      <c r="B764" s="65"/>
      <c r="C764" s="66"/>
    </row>
    <row r="765" spans="1:3" ht="14.25">
      <c r="A765" s="65"/>
      <c r="B765" s="65"/>
      <c r="C765" s="66"/>
    </row>
    <row r="766" spans="1:3" ht="14.25">
      <c r="A766" s="65"/>
      <c r="B766" s="65"/>
      <c r="C766" s="66"/>
    </row>
    <row r="767" spans="1:3" ht="14.25">
      <c r="A767" s="65"/>
      <c r="B767" s="65"/>
      <c r="C767" s="66"/>
    </row>
    <row r="768" spans="1:3" ht="14.25">
      <c r="A768" s="65"/>
      <c r="B768" s="65"/>
      <c r="C768" s="66"/>
    </row>
    <row r="769" spans="1:3" ht="14.25">
      <c r="A769" s="65"/>
      <c r="B769" s="65"/>
      <c r="C769" s="66"/>
    </row>
    <row r="770" spans="1:3" ht="14.25">
      <c r="A770" s="65"/>
      <c r="B770" s="65"/>
      <c r="C770" s="66"/>
    </row>
    <row r="771" spans="1:3" ht="14.25">
      <c r="A771" s="65"/>
      <c r="B771" s="65"/>
      <c r="C771" s="66"/>
    </row>
    <row r="772" spans="1:3" ht="14.25">
      <c r="A772" s="65"/>
      <c r="B772" s="65"/>
      <c r="C772" s="66"/>
    </row>
    <row r="773" spans="1:3" ht="14.25">
      <c r="A773" s="65"/>
      <c r="B773" s="65"/>
      <c r="C773" s="66"/>
    </row>
    <row r="774" spans="1:3" ht="14.25">
      <c r="A774" s="65"/>
      <c r="B774" s="65"/>
      <c r="C774" s="66"/>
    </row>
    <row r="775" spans="1:3" ht="14.25">
      <c r="A775" s="65"/>
      <c r="B775" s="65"/>
      <c r="C775" s="66"/>
    </row>
    <row r="776" spans="1:3" ht="14.25">
      <c r="A776" s="65"/>
      <c r="B776" s="65"/>
      <c r="C776" s="66"/>
    </row>
    <row r="777" spans="1:3" ht="14.25">
      <c r="A777" s="65"/>
      <c r="B777" s="65"/>
      <c r="C777" s="66"/>
    </row>
    <row r="778" spans="1:3" ht="14.25">
      <c r="A778" s="65"/>
      <c r="B778" s="65"/>
      <c r="C778" s="66"/>
    </row>
    <row r="779" spans="1:3" ht="14.25">
      <c r="A779" s="65"/>
      <c r="B779" s="65"/>
      <c r="C779" s="66"/>
    </row>
    <row r="780" spans="1:3" ht="14.25">
      <c r="A780" s="65"/>
      <c r="B780" s="65"/>
      <c r="C780" s="66"/>
    </row>
    <row r="781" spans="1:3" ht="14.25">
      <c r="A781" s="65"/>
      <c r="B781" s="65"/>
      <c r="C781" s="66"/>
    </row>
    <row r="782" spans="1:3" ht="14.25">
      <c r="A782" s="65"/>
      <c r="B782" s="65"/>
      <c r="C782" s="66"/>
    </row>
    <row r="783" spans="1:3" ht="14.25">
      <c r="A783" s="65"/>
      <c r="B783" s="65"/>
      <c r="C783" s="66"/>
    </row>
    <row r="784" spans="1:3" ht="14.25">
      <c r="A784" s="65"/>
      <c r="B784" s="65"/>
      <c r="C784" s="66"/>
    </row>
    <row r="785" spans="1:3" ht="14.25">
      <c r="A785" s="65"/>
      <c r="B785" s="65"/>
      <c r="C785" s="66"/>
    </row>
    <row r="786" spans="1:3" ht="14.25">
      <c r="A786" s="65"/>
      <c r="B786" s="65"/>
      <c r="C786" s="66"/>
    </row>
    <row r="787" spans="1:3" ht="14.25">
      <c r="A787" s="65"/>
      <c r="B787" s="65"/>
      <c r="C787" s="66"/>
    </row>
    <row r="788" spans="1:3" ht="14.25">
      <c r="A788" s="65"/>
      <c r="B788" s="65"/>
      <c r="C788" s="66"/>
    </row>
    <row r="789" spans="1:3" ht="14.25">
      <c r="A789" s="65"/>
      <c r="B789" s="65"/>
      <c r="C789" s="66"/>
    </row>
    <row r="790" spans="1:3" ht="14.25">
      <c r="A790" s="65"/>
      <c r="B790" s="65"/>
      <c r="C790" s="66"/>
    </row>
    <row r="791" spans="1:3" ht="14.25">
      <c r="A791" s="65"/>
      <c r="B791" s="65"/>
      <c r="C791" s="66"/>
    </row>
    <row r="792" spans="1:3" ht="14.25">
      <c r="A792" s="65"/>
      <c r="B792" s="65"/>
      <c r="C792" s="66"/>
    </row>
    <row r="793" spans="1:3" ht="14.25">
      <c r="A793" s="65"/>
      <c r="B793" s="65"/>
      <c r="C793" s="66"/>
    </row>
    <row r="794" spans="1:3" ht="14.25">
      <c r="A794" s="65"/>
      <c r="B794" s="65"/>
      <c r="C794" s="66"/>
    </row>
    <row r="795" spans="1:3" ht="14.25">
      <c r="A795" s="65"/>
      <c r="B795" s="65"/>
      <c r="C795" s="66"/>
    </row>
    <row r="796" spans="1:3" ht="14.25">
      <c r="A796" s="65"/>
      <c r="B796" s="65"/>
      <c r="C796" s="66"/>
    </row>
    <row r="797" spans="1:3" ht="14.25">
      <c r="A797" s="65"/>
      <c r="B797" s="65"/>
      <c r="C797" s="66"/>
    </row>
    <row r="798" spans="1:3" ht="14.25">
      <c r="A798" s="65"/>
      <c r="B798" s="65"/>
      <c r="C798" s="66"/>
    </row>
    <row r="799" spans="1:3" ht="14.25">
      <c r="A799" s="65"/>
      <c r="B799" s="65"/>
      <c r="C799" s="66"/>
    </row>
    <row r="800" spans="1:3" ht="14.25">
      <c r="A800" s="65"/>
      <c r="B800" s="65"/>
      <c r="C800" s="66"/>
    </row>
    <row r="801" spans="1:3" ht="14.25">
      <c r="A801" s="65"/>
      <c r="B801" s="65"/>
      <c r="C801" s="66"/>
    </row>
    <row r="802" spans="1:3" ht="14.25">
      <c r="A802" s="65"/>
      <c r="B802" s="65"/>
      <c r="C802" s="66"/>
    </row>
    <row r="803" spans="1:3" ht="14.25">
      <c r="A803" s="65"/>
      <c r="B803" s="65"/>
      <c r="C803" s="66"/>
    </row>
    <row r="804" spans="1:3" ht="14.25">
      <c r="A804" s="65"/>
      <c r="B804" s="65"/>
      <c r="C804" s="66"/>
    </row>
    <row r="805" spans="1:3" ht="14.25">
      <c r="A805" s="65"/>
      <c r="B805" s="65"/>
      <c r="C805" s="66"/>
    </row>
    <row r="806" spans="1:3" ht="14.25">
      <c r="A806" s="65"/>
      <c r="B806" s="65"/>
      <c r="C806" s="66"/>
    </row>
    <row r="807" spans="1:3" ht="14.25">
      <c r="A807" s="65"/>
      <c r="B807" s="65"/>
      <c r="C807" s="66"/>
    </row>
    <row r="808" spans="1:3" ht="14.25">
      <c r="A808" s="65"/>
      <c r="B808" s="65"/>
      <c r="C808" s="66"/>
    </row>
    <row r="809" spans="1:3" ht="14.25">
      <c r="A809" s="65"/>
      <c r="B809" s="65"/>
      <c r="C809" s="66"/>
    </row>
    <row r="810" spans="1:3" ht="14.25">
      <c r="A810" s="65"/>
      <c r="B810" s="65"/>
      <c r="C810" s="66"/>
    </row>
    <row r="811" spans="1:3" ht="14.25">
      <c r="A811" s="65"/>
      <c r="B811" s="65"/>
      <c r="C811" s="66"/>
    </row>
    <row r="812" spans="1:3" ht="14.25">
      <c r="A812" s="65"/>
      <c r="B812" s="65"/>
      <c r="C812" s="66"/>
    </row>
    <row r="813" spans="1:3" ht="14.25">
      <c r="A813" s="65"/>
      <c r="B813" s="65"/>
      <c r="C813" s="66"/>
    </row>
    <row r="814" spans="1:3" ht="14.25">
      <c r="A814" s="65"/>
      <c r="B814" s="65"/>
      <c r="C814" s="66"/>
    </row>
    <row r="815" spans="1:3" ht="14.25">
      <c r="A815" s="65"/>
      <c r="B815" s="65"/>
      <c r="C815" s="66"/>
    </row>
    <row r="816" spans="1:3" ht="14.25">
      <c r="A816" s="65"/>
      <c r="B816" s="65"/>
      <c r="C816" s="66"/>
    </row>
    <row r="817" spans="1:3" ht="14.25">
      <c r="A817" s="65"/>
      <c r="B817" s="65"/>
      <c r="C817" s="66"/>
    </row>
    <row r="818" spans="1:3" ht="14.25">
      <c r="A818" s="65"/>
      <c r="B818" s="65"/>
      <c r="C818" s="66"/>
    </row>
    <row r="819" spans="1:3" ht="14.25">
      <c r="A819" s="65"/>
      <c r="B819" s="65"/>
      <c r="C819" s="66"/>
    </row>
    <row r="820" spans="1:3" ht="14.25">
      <c r="A820" s="65"/>
      <c r="B820" s="65"/>
      <c r="C820" s="66"/>
    </row>
    <row r="821" spans="1:3" ht="14.25">
      <c r="A821" s="65"/>
      <c r="B821" s="65"/>
      <c r="C821" s="66"/>
    </row>
    <row r="822" spans="1:3" ht="14.25">
      <c r="A822" s="65"/>
      <c r="B822" s="65"/>
      <c r="C822" s="66"/>
    </row>
    <row r="823" spans="1:3" ht="14.25">
      <c r="A823" s="65"/>
      <c r="B823" s="65"/>
      <c r="C823" s="66"/>
    </row>
    <row r="824" spans="1:3" ht="14.25">
      <c r="A824" s="65"/>
      <c r="B824" s="65"/>
      <c r="C824" s="66"/>
    </row>
    <row r="825" spans="1:3" ht="14.25">
      <c r="A825" s="65"/>
      <c r="B825" s="65"/>
      <c r="C825" s="66"/>
    </row>
    <row r="826" spans="1:3" ht="14.25">
      <c r="A826" s="65"/>
      <c r="B826" s="65"/>
      <c r="C826" s="66"/>
    </row>
    <row r="827" spans="1:3" ht="14.25">
      <c r="A827" s="65"/>
      <c r="B827" s="65"/>
      <c r="C827" s="66"/>
    </row>
    <row r="828" spans="1:3" ht="14.25">
      <c r="A828" s="65"/>
      <c r="B828" s="65"/>
      <c r="C828" s="66"/>
    </row>
    <row r="829" spans="1:3" ht="14.25">
      <c r="A829" s="65"/>
      <c r="B829" s="65"/>
      <c r="C829" s="66"/>
    </row>
    <row r="830" spans="1:3" ht="14.25">
      <c r="A830" s="65"/>
      <c r="B830" s="65"/>
      <c r="C830" s="66"/>
    </row>
    <row r="831" spans="1:3" ht="14.25">
      <c r="A831" s="65"/>
      <c r="B831" s="65"/>
      <c r="C831" s="66"/>
    </row>
    <row r="832" spans="1:3" ht="14.25">
      <c r="A832" s="65"/>
      <c r="B832" s="65"/>
      <c r="C832" s="66"/>
    </row>
    <row r="833" spans="1:3" ht="14.25">
      <c r="A833" s="65"/>
      <c r="B833" s="65"/>
      <c r="C833" s="66"/>
    </row>
    <row r="834" spans="1:3" ht="14.25">
      <c r="A834" s="65"/>
      <c r="B834" s="65"/>
      <c r="C834" s="66"/>
    </row>
    <row r="835" spans="1:3" ht="14.25">
      <c r="A835" s="65"/>
      <c r="B835" s="65"/>
      <c r="C835" s="66"/>
    </row>
    <row r="836" spans="1:3" ht="14.25">
      <c r="A836" s="65"/>
      <c r="B836" s="65"/>
      <c r="C836" s="66"/>
    </row>
    <row r="837" spans="1:3" ht="14.25">
      <c r="A837" s="65"/>
      <c r="B837" s="65"/>
      <c r="C837" s="66"/>
    </row>
    <row r="838" spans="1:3" ht="14.25">
      <c r="A838" s="65"/>
      <c r="B838" s="65"/>
      <c r="C838" s="66"/>
    </row>
    <row r="839" spans="1:3" ht="14.25">
      <c r="A839" s="65"/>
      <c r="B839" s="65"/>
      <c r="C839" s="66"/>
    </row>
    <row r="840" spans="1:3" ht="14.25">
      <c r="A840" s="65"/>
      <c r="B840" s="65"/>
      <c r="C840" s="66"/>
    </row>
    <row r="841" spans="1:3" ht="14.25">
      <c r="A841" s="65"/>
      <c r="B841" s="65"/>
      <c r="C841" s="66"/>
    </row>
    <row r="842" spans="1:3" ht="14.25">
      <c r="A842" s="65"/>
      <c r="B842" s="65"/>
      <c r="C842" s="66"/>
    </row>
    <row r="843" spans="1:3" ht="14.25">
      <c r="A843" s="65"/>
      <c r="B843" s="65"/>
      <c r="C843" s="66"/>
    </row>
    <row r="844" spans="1:3" ht="14.25">
      <c r="A844" s="65"/>
      <c r="B844" s="65"/>
      <c r="C844" s="66"/>
    </row>
    <row r="845" spans="1:3" ht="14.25">
      <c r="A845" s="65"/>
      <c r="B845" s="65"/>
      <c r="C845" s="66"/>
    </row>
    <row r="846" spans="1:3" ht="14.25">
      <c r="A846" s="65"/>
      <c r="B846" s="65"/>
      <c r="C846" s="66"/>
    </row>
    <row r="847" spans="1:3" ht="14.25">
      <c r="A847" s="65"/>
      <c r="B847" s="65"/>
      <c r="C847" s="66"/>
    </row>
    <row r="848" spans="1:3" ht="14.25">
      <c r="A848" s="65"/>
      <c r="B848" s="65"/>
      <c r="C848" s="66"/>
    </row>
    <row r="849" spans="1:3" ht="14.25">
      <c r="A849" s="65"/>
      <c r="B849" s="65"/>
      <c r="C849" s="66"/>
    </row>
    <row r="850" spans="1:3" ht="14.25">
      <c r="A850" s="65"/>
      <c r="B850" s="65"/>
      <c r="C850" s="66"/>
    </row>
    <row r="851" spans="1:3" ht="14.25">
      <c r="A851" s="65"/>
      <c r="B851" s="65"/>
      <c r="C851" s="66"/>
    </row>
    <row r="852" spans="1:3" ht="14.25">
      <c r="A852" s="65"/>
      <c r="B852" s="65"/>
      <c r="C852" s="66"/>
    </row>
    <row r="853" spans="1:3" ht="14.25">
      <c r="A853" s="65"/>
      <c r="B853" s="65"/>
      <c r="C853" s="66"/>
    </row>
    <row r="854" spans="1:3" ht="14.25">
      <c r="A854" s="65"/>
      <c r="B854" s="65"/>
      <c r="C854" s="66"/>
    </row>
    <row r="855" spans="1:3" ht="14.25">
      <c r="A855" s="65"/>
      <c r="B855" s="65"/>
      <c r="C855" s="66"/>
    </row>
    <row r="856" spans="1:3" ht="14.25">
      <c r="A856" s="65"/>
      <c r="B856" s="65"/>
      <c r="C856" s="66"/>
    </row>
    <row r="857" spans="1:3" ht="14.25">
      <c r="A857" s="65"/>
      <c r="B857" s="65"/>
      <c r="C857" s="66"/>
    </row>
    <row r="858" spans="1:3" ht="14.25">
      <c r="A858" s="65"/>
      <c r="B858" s="65"/>
      <c r="C858" s="66"/>
    </row>
    <row r="859" spans="1:3" ht="14.25">
      <c r="A859" s="65"/>
      <c r="B859" s="65"/>
      <c r="C859" s="66"/>
    </row>
    <row r="860" spans="1:3" ht="14.25">
      <c r="A860" s="65"/>
      <c r="B860" s="65"/>
      <c r="C860" s="66"/>
    </row>
    <row r="861" spans="1:3" ht="14.25">
      <c r="A861" s="65"/>
      <c r="B861" s="65"/>
      <c r="C861" s="66"/>
    </row>
    <row r="862" spans="1:3" ht="14.25">
      <c r="A862" s="65"/>
      <c r="B862" s="65"/>
      <c r="C862" s="66"/>
    </row>
    <row r="863" spans="1:3" ht="14.25">
      <c r="A863" s="65"/>
      <c r="B863" s="65"/>
      <c r="C863" s="66"/>
    </row>
    <row r="864" spans="1:3" ht="14.25">
      <c r="A864" s="65"/>
      <c r="B864" s="65"/>
      <c r="C864" s="66"/>
    </row>
    <row r="865" spans="1:3" ht="14.25">
      <c r="A865" s="65"/>
      <c r="B865" s="65"/>
      <c r="C865" s="66"/>
    </row>
    <row r="866" spans="1:3" ht="14.25">
      <c r="A866" s="65"/>
      <c r="B866" s="65"/>
      <c r="C866" s="66"/>
    </row>
    <row r="867" spans="1:3" ht="14.25">
      <c r="A867" s="65"/>
      <c r="B867" s="65"/>
      <c r="C867" s="66"/>
    </row>
    <row r="868" spans="1:3" ht="14.25">
      <c r="A868" s="65"/>
      <c r="B868" s="65"/>
      <c r="C868" s="66"/>
    </row>
    <row r="869" spans="1:3" ht="14.25">
      <c r="A869" s="65"/>
      <c r="B869" s="65"/>
      <c r="C869" s="66"/>
    </row>
    <row r="870" spans="1:3" ht="14.25">
      <c r="A870" s="65"/>
      <c r="B870" s="65"/>
      <c r="C870" s="66"/>
    </row>
    <row r="871" spans="1:3" ht="14.25">
      <c r="A871" s="65"/>
      <c r="B871" s="65"/>
      <c r="C871" s="66"/>
    </row>
    <row r="872" spans="1:3" ht="14.25">
      <c r="A872" s="65"/>
      <c r="B872" s="65"/>
      <c r="C872" s="66"/>
    </row>
    <row r="873" spans="1:3" ht="14.25">
      <c r="A873" s="65"/>
      <c r="B873" s="65"/>
      <c r="C873" s="66"/>
    </row>
    <row r="874" spans="1:3" ht="14.25">
      <c r="A874" s="65"/>
      <c r="B874" s="65"/>
      <c r="C874" s="66"/>
    </row>
    <row r="875" spans="1:3" ht="14.25">
      <c r="A875" s="65"/>
      <c r="B875" s="65"/>
      <c r="C875" s="66"/>
    </row>
    <row r="876" spans="1:3" ht="14.25">
      <c r="A876" s="65"/>
      <c r="B876" s="65"/>
      <c r="C876" s="66"/>
    </row>
    <row r="877" spans="1:3" ht="14.25">
      <c r="A877" s="65"/>
      <c r="B877" s="65"/>
      <c r="C877" s="66"/>
    </row>
    <row r="878" spans="1:3" ht="14.25">
      <c r="A878" s="65"/>
      <c r="B878" s="65"/>
      <c r="C878" s="66"/>
    </row>
    <row r="879" spans="1:3" ht="14.25">
      <c r="A879" s="65"/>
      <c r="B879" s="65"/>
      <c r="C879" s="66"/>
    </row>
    <row r="880" spans="1:3" ht="14.25">
      <c r="A880" s="65"/>
      <c r="B880" s="65"/>
      <c r="C880" s="66"/>
    </row>
    <row r="881" spans="1:3" ht="14.25">
      <c r="A881" s="65"/>
      <c r="B881" s="65"/>
      <c r="C881" s="66"/>
    </row>
    <row r="882" spans="1:3" ht="14.25">
      <c r="A882" s="65"/>
      <c r="B882" s="65"/>
      <c r="C882" s="66"/>
    </row>
    <row r="883" spans="1:3" ht="14.25">
      <c r="A883" s="65"/>
      <c r="B883" s="65"/>
      <c r="C883" s="66"/>
    </row>
    <row r="884" spans="1:3" ht="14.25">
      <c r="A884" s="65"/>
      <c r="B884" s="65"/>
      <c r="C884" s="66"/>
    </row>
    <row r="885" spans="1:3" ht="14.25">
      <c r="A885" s="65"/>
      <c r="B885" s="65"/>
      <c r="C885" s="66"/>
    </row>
    <row r="886" spans="1:3" ht="14.25">
      <c r="A886" s="65"/>
      <c r="B886" s="65"/>
      <c r="C886" s="66"/>
    </row>
    <row r="887" spans="1:3" ht="14.25">
      <c r="A887" s="65"/>
      <c r="B887" s="65"/>
      <c r="C887" s="66"/>
    </row>
    <row r="888" spans="1:3" ht="14.25">
      <c r="A888" s="65"/>
      <c r="B888" s="65"/>
      <c r="C888" s="66"/>
    </row>
    <row r="889" spans="1:3" ht="14.25">
      <c r="A889" s="65"/>
      <c r="B889" s="65"/>
      <c r="C889" s="66"/>
    </row>
    <row r="890" spans="1:3" ht="14.25">
      <c r="A890" s="65"/>
      <c r="B890" s="65"/>
      <c r="C890" s="66"/>
    </row>
    <row r="891" spans="1:3" ht="14.25">
      <c r="A891" s="65"/>
      <c r="B891" s="65"/>
      <c r="C891" s="66"/>
    </row>
    <row r="892" spans="1:3" ht="14.25">
      <c r="A892" s="65"/>
      <c r="B892" s="65"/>
      <c r="C892" s="66"/>
    </row>
    <row r="893" spans="1:3" ht="14.25">
      <c r="A893" s="65"/>
      <c r="B893" s="65"/>
      <c r="C893" s="66"/>
    </row>
    <row r="894" spans="1:3" ht="14.25">
      <c r="A894" s="65"/>
      <c r="B894" s="65"/>
      <c r="C894" s="66"/>
    </row>
    <row r="895" spans="1:3" ht="14.25">
      <c r="A895" s="65"/>
      <c r="B895" s="65"/>
      <c r="C895" s="66"/>
    </row>
    <row r="896" spans="1:3" ht="14.25">
      <c r="A896" s="65"/>
      <c r="B896" s="65"/>
      <c r="C896" s="66"/>
    </row>
    <row r="897" spans="1:3" ht="14.25">
      <c r="A897" s="65"/>
      <c r="B897" s="65"/>
      <c r="C897" s="66"/>
    </row>
    <row r="898" spans="1:3" ht="14.25">
      <c r="A898" s="65"/>
      <c r="B898" s="65"/>
      <c r="C898" s="66"/>
    </row>
    <row r="899" spans="1:3" ht="14.25">
      <c r="A899" s="65"/>
      <c r="B899" s="65"/>
      <c r="C899" s="66"/>
    </row>
    <row r="900" spans="1:3" ht="14.25">
      <c r="A900" s="65"/>
      <c r="B900" s="65"/>
      <c r="C900" s="66"/>
    </row>
    <row r="901" spans="1:3" ht="14.25">
      <c r="A901" s="65"/>
      <c r="B901" s="65"/>
      <c r="C901" s="66"/>
    </row>
    <row r="902" spans="1:3" ht="14.25">
      <c r="A902" s="65"/>
      <c r="B902" s="65"/>
      <c r="C902" s="66"/>
    </row>
    <row r="903" spans="1:3" ht="14.25">
      <c r="A903" s="65"/>
      <c r="B903" s="65"/>
      <c r="C903" s="66"/>
    </row>
    <row r="904" spans="1:3" ht="14.25">
      <c r="A904" s="65"/>
      <c r="B904" s="65"/>
      <c r="C904" s="66"/>
    </row>
    <row r="905" spans="1:3" ht="14.25">
      <c r="A905" s="65"/>
      <c r="B905" s="65"/>
      <c r="C905" s="66"/>
    </row>
    <row r="906" spans="1:3" ht="14.25">
      <c r="A906" s="65"/>
      <c r="B906" s="65"/>
      <c r="C906" s="66"/>
    </row>
    <row r="907" spans="1:3" ht="14.25">
      <c r="A907" s="65"/>
      <c r="B907" s="65"/>
      <c r="C907" s="66"/>
    </row>
    <row r="908" spans="1:3" ht="14.25">
      <c r="A908" s="65"/>
      <c r="B908" s="65"/>
      <c r="C908" s="66"/>
    </row>
    <row r="909" spans="1:3" ht="14.25">
      <c r="A909" s="65"/>
      <c r="B909" s="65"/>
      <c r="C909" s="66"/>
    </row>
    <row r="910" spans="1:3" ht="14.25">
      <c r="A910" s="65"/>
      <c r="B910" s="65"/>
      <c r="C910" s="66"/>
    </row>
    <row r="911" spans="1:3" ht="14.25">
      <c r="A911" s="65"/>
      <c r="B911" s="65"/>
      <c r="C911" s="66"/>
    </row>
    <row r="912" spans="1:3" ht="14.25">
      <c r="A912" s="65"/>
      <c r="B912" s="65"/>
      <c r="C912" s="66"/>
    </row>
    <row r="913" spans="1:3" ht="14.25">
      <c r="A913" s="65"/>
      <c r="B913" s="65"/>
      <c r="C913" s="66"/>
    </row>
    <row r="914" spans="1:3" ht="14.25">
      <c r="A914" s="65"/>
      <c r="B914" s="65"/>
      <c r="C914" s="66"/>
    </row>
    <row r="915" spans="1:3" ht="14.25">
      <c r="A915" s="65"/>
      <c r="B915" s="65"/>
      <c r="C915" s="66"/>
    </row>
    <row r="916" spans="1:3" ht="14.25">
      <c r="A916" s="65"/>
      <c r="B916" s="65"/>
      <c r="C916" s="66"/>
    </row>
    <row r="917" spans="1:3" ht="14.25">
      <c r="A917" s="65"/>
      <c r="B917" s="65"/>
      <c r="C917" s="66"/>
    </row>
    <row r="918" spans="1:3" ht="14.25">
      <c r="A918" s="65"/>
      <c r="B918" s="65"/>
      <c r="C918" s="66"/>
    </row>
    <row r="919" spans="1:3" ht="14.25">
      <c r="A919" s="65"/>
      <c r="B919" s="65"/>
      <c r="C919" s="66"/>
    </row>
    <row r="920" spans="1:3" ht="14.25">
      <c r="A920" s="65"/>
      <c r="B920" s="65"/>
      <c r="C920" s="66"/>
    </row>
    <row r="921" spans="1:3" ht="14.25">
      <c r="A921" s="65"/>
      <c r="B921" s="65"/>
      <c r="C921" s="66"/>
    </row>
    <row r="922" spans="1:3" ht="14.25">
      <c r="A922" s="65"/>
      <c r="B922" s="65"/>
      <c r="C922" s="66"/>
    </row>
    <row r="923" spans="1:3" ht="14.25">
      <c r="A923" s="65"/>
      <c r="B923" s="65"/>
      <c r="C923" s="66"/>
    </row>
    <row r="924" spans="1:3" ht="14.25">
      <c r="A924" s="65"/>
      <c r="B924" s="65"/>
      <c r="C924" s="66"/>
    </row>
    <row r="925" spans="1:3" ht="14.25">
      <c r="A925" s="65"/>
      <c r="B925" s="65"/>
      <c r="C925" s="66"/>
    </row>
    <row r="926" spans="1:3" ht="14.25">
      <c r="A926" s="65"/>
      <c r="B926" s="65"/>
      <c r="C926" s="66"/>
    </row>
    <row r="927" spans="1:3" ht="14.25">
      <c r="A927" s="65"/>
      <c r="B927" s="65"/>
      <c r="C927" s="66"/>
    </row>
    <row r="928" spans="1:3" ht="14.25">
      <c r="A928" s="65"/>
      <c r="B928" s="65"/>
      <c r="C928" s="66"/>
    </row>
    <row r="929" spans="1:3" ht="14.25">
      <c r="A929" s="65"/>
      <c r="B929" s="65"/>
      <c r="C929" s="66"/>
    </row>
    <row r="930" spans="1:3" ht="14.25">
      <c r="A930" s="65"/>
      <c r="B930" s="65"/>
      <c r="C930" s="66"/>
    </row>
    <row r="931" spans="1:3" ht="14.25">
      <c r="A931" s="65"/>
      <c r="B931" s="65"/>
      <c r="C931" s="66"/>
    </row>
    <row r="932" spans="1:3" ht="14.25">
      <c r="A932" s="65"/>
      <c r="B932" s="65"/>
      <c r="C932" s="66"/>
    </row>
    <row r="933" spans="1:3" ht="14.25">
      <c r="A933" s="65"/>
      <c r="B933" s="65"/>
      <c r="C933" s="66"/>
    </row>
    <row r="934" spans="1:3" ht="14.25">
      <c r="A934" s="65"/>
      <c r="B934" s="65"/>
      <c r="C934" s="66"/>
    </row>
    <row r="935" spans="1:3" ht="14.25">
      <c r="A935" s="65"/>
      <c r="B935" s="65"/>
      <c r="C935" s="66"/>
    </row>
    <row r="936" spans="1:3" ht="14.25">
      <c r="A936" s="65"/>
      <c r="B936" s="65"/>
      <c r="C936" s="66"/>
    </row>
    <row r="937" spans="1:3" ht="14.25">
      <c r="A937" s="65"/>
      <c r="B937" s="65"/>
      <c r="C937" s="66"/>
    </row>
    <row r="938" spans="1:3" ht="14.25">
      <c r="A938" s="65"/>
      <c r="B938" s="65"/>
      <c r="C938" s="66"/>
    </row>
    <row r="939" spans="1:3" ht="14.25">
      <c r="A939" s="65"/>
      <c r="B939" s="65"/>
      <c r="C939" s="66"/>
    </row>
    <row r="940" spans="1:3" ht="14.25">
      <c r="A940" s="65"/>
      <c r="B940" s="65"/>
      <c r="C940" s="66"/>
    </row>
    <row r="941" spans="1:3" ht="14.25">
      <c r="A941" s="65"/>
      <c r="B941" s="65"/>
      <c r="C941" s="66"/>
    </row>
    <row r="942" spans="1:3" ht="14.25">
      <c r="A942" s="65"/>
      <c r="B942" s="65"/>
      <c r="C942" s="66"/>
    </row>
    <row r="943" spans="1:3" ht="14.25">
      <c r="A943" s="65"/>
      <c r="B943" s="65"/>
      <c r="C943" s="66"/>
    </row>
    <row r="944" spans="1:3" ht="14.25">
      <c r="A944" s="65"/>
      <c r="B944" s="65"/>
      <c r="C944" s="66"/>
    </row>
    <row r="945" spans="1:3" ht="14.25">
      <c r="A945" s="65"/>
      <c r="B945" s="65"/>
      <c r="C945" s="66"/>
    </row>
    <row r="946" spans="1:3" ht="14.25">
      <c r="A946" s="65"/>
      <c r="B946" s="65"/>
      <c r="C946" s="66"/>
    </row>
    <row r="947" spans="1:3" ht="14.25">
      <c r="A947" s="65"/>
      <c r="B947" s="65"/>
      <c r="C947" s="66"/>
    </row>
    <row r="948" spans="1:3" ht="14.25">
      <c r="A948" s="65"/>
      <c r="B948" s="65"/>
      <c r="C948" s="66"/>
    </row>
    <row r="949" spans="1:3" ht="14.25">
      <c r="A949" s="65"/>
      <c r="B949" s="65"/>
      <c r="C949" s="66"/>
    </row>
    <row r="950" spans="1:3" ht="14.25">
      <c r="A950" s="65"/>
      <c r="B950" s="65"/>
      <c r="C950" s="66"/>
    </row>
    <row r="951" spans="1:3" ht="14.25">
      <c r="A951" s="65"/>
      <c r="B951" s="65"/>
      <c r="C951" s="66"/>
    </row>
    <row r="952" spans="1:3" ht="14.25">
      <c r="A952" s="65"/>
      <c r="B952" s="65"/>
      <c r="C952" s="66"/>
    </row>
    <row r="953" spans="1:3" ht="14.25">
      <c r="A953" s="65"/>
      <c r="B953" s="65"/>
      <c r="C953" s="66"/>
    </row>
    <row r="954" spans="1:3" ht="14.25">
      <c r="A954" s="65"/>
      <c r="B954" s="65"/>
      <c r="C954" s="66"/>
    </row>
    <row r="955" spans="1:3" ht="14.25">
      <c r="A955" s="65"/>
      <c r="B955" s="65"/>
      <c r="C955" s="66"/>
    </row>
    <row r="956" spans="1:3" ht="14.25">
      <c r="A956" s="65"/>
      <c r="B956" s="65"/>
      <c r="C956" s="66"/>
    </row>
    <row r="957" spans="1:3" ht="14.25">
      <c r="A957" s="65"/>
      <c r="B957" s="65"/>
      <c r="C957" s="66"/>
    </row>
    <row r="958" spans="1:3" ht="14.25">
      <c r="A958" s="65"/>
      <c r="B958" s="65"/>
      <c r="C958" s="66"/>
    </row>
    <row r="959" spans="1:3" ht="14.25">
      <c r="A959" s="65"/>
      <c r="B959" s="65"/>
      <c r="C959" s="66"/>
    </row>
    <row r="960" spans="1:3" ht="14.25">
      <c r="A960" s="65"/>
      <c r="B960" s="65"/>
      <c r="C960" s="66"/>
    </row>
    <row r="961" spans="1:3" ht="14.25">
      <c r="A961" s="65"/>
      <c r="B961" s="65"/>
      <c r="C961" s="66"/>
    </row>
    <row r="962" spans="1:3" ht="14.25">
      <c r="A962" s="65"/>
      <c r="B962" s="65"/>
      <c r="C962" s="66"/>
    </row>
    <row r="963" spans="1:3" ht="14.25">
      <c r="A963" s="65"/>
      <c r="B963" s="65"/>
      <c r="C963" s="66"/>
    </row>
    <row r="964" spans="1:3" ht="14.25">
      <c r="A964" s="65"/>
      <c r="B964" s="65"/>
      <c r="C964" s="66"/>
    </row>
    <row r="965" spans="1:3" ht="14.25">
      <c r="A965" s="65"/>
      <c r="B965" s="65"/>
      <c r="C965" s="66"/>
    </row>
    <row r="966" spans="1:3" ht="14.25">
      <c r="A966" s="65"/>
      <c r="B966" s="65"/>
      <c r="C966" s="66"/>
    </row>
    <row r="967" spans="1:3" ht="14.25">
      <c r="A967" s="65"/>
      <c r="B967" s="65"/>
      <c r="C967" s="66"/>
    </row>
    <row r="968" spans="1:3" ht="14.25">
      <c r="A968" s="65"/>
      <c r="B968" s="65"/>
      <c r="C968" s="66"/>
    </row>
    <row r="969" spans="1:3" ht="14.25">
      <c r="A969" s="65"/>
      <c r="B969" s="65"/>
      <c r="C969" s="66"/>
    </row>
    <row r="970" spans="1:3" ht="14.25">
      <c r="A970" s="65"/>
      <c r="B970" s="65"/>
      <c r="C970" s="66"/>
    </row>
    <row r="971" spans="1:3" ht="14.25">
      <c r="A971" s="65"/>
      <c r="B971" s="65"/>
      <c r="C971" s="66"/>
    </row>
    <row r="972" spans="1:3" ht="14.25">
      <c r="A972" s="65"/>
      <c r="B972" s="65"/>
      <c r="C972" s="66"/>
    </row>
    <row r="973" spans="1:3" ht="14.25">
      <c r="A973" s="65"/>
      <c r="B973" s="65"/>
      <c r="C973" s="66"/>
    </row>
    <row r="974" spans="1:3" ht="14.25">
      <c r="A974" s="65"/>
      <c r="B974" s="65"/>
      <c r="C974" s="66"/>
    </row>
    <row r="975" spans="1:3" ht="14.25">
      <c r="A975" s="65"/>
      <c r="B975" s="65"/>
      <c r="C975" s="66"/>
    </row>
    <row r="976" spans="1:3" ht="14.25">
      <c r="A976" s="65"/>
      <c r="B976" s="65"/>
      <c r="C976" s="66"/>
    </row>
    <row r="977" spans="1:3" ht="14.25">
      <c r="A977" s="65"/>
      <c r="B977" s="65"/>
      <c r="C977" s="66"/>
    </row>
    <row r="978" spans="1:3" ht="14.25">
      <c r="A978" s="65"/>
      <c r="B978" s="65"/>
      <c r="C978" s="66"/>
    </row>
    <row r="979" spans="1:3" ht="14.25">
      <c r="A979" s="65"/>
      <c r="B979" s="65"/>
      <c r="C979" s="66"/>
    </row>
    <row r="980" spans="1:3" ht="14.25">
      <c r="A980" s="65"/>
      <c r="B980" s="65"/>
      <c r="C980" s="66"/>
    </row>
    <row r="981" spans="1:3" ht="14.25">
      <c r="A981" s="65"/>
      <c r="B981" s="65"/>
      <c r="C981" s="66"/>
    </row>
    <row r="982" spans="1:3" ht="14.25">
      <c r="A982" s="65"/>
      <c r="B982" s="65"/>
      <c r="C982" s="66"/>
    </row>
    <row r="983" spans="1:3" ht="14.25">
      <c r="A983" s="65"/>
      <c r="B983" s="65"/>
      <c r="C983" s="66"/>
    </row>
    <row r="984" spans="1:3" ht="14.25">
      <c r="A984" s="65"/>
      <c r="B984" s="65"/>
      <c r="C984" s="66"/>
    </row>
    <row r="985" spans="1:3" ht="14.25">
      <c r="A985" s="65"/>
      <c r="B985" s="65"/>
      <c r="C985" s="66"/>
    </row>
    <row r="986" spans="1:3" ht="14.25">
      <c r="A986" s="65"/>
      <c r="B986" s="65"/>
      <c r="C986" s="66"/>
    </row>
    <row r="987" spans="1:3" ht="14.25">
      <c r="A987" s="65"/>
      <c r="B987" s="65"/>
      <c r="C987" s="66"/>
    </row>
    <row r="988" spans="1:3" ht="14.25">
      <c r="A988" s="65"/>
      <c r="B988" s="65"/>
      <c r="C988" s="66"/>
    </row>
    <row r="989" spans="1:3" ht="14.25">
      <c r="A989" s="65"/>
      <c r="B989" s="65"/>
      <c r="C989" s="66"/>
    </row>
    <row r="990" spans="1:3" ht="14.25">
      <c r="A990" s="65"/>
      <c r="B990" s="65"/>
      <c r="C990" s="66"/>
    </row>
    <row r="991" spans="1:3" ht="14.25">
      <c r="A991" s="65"/>
      <c r="B991" s="65"/>
      <c r="C991" s="66"/>
    </row>
    <row r="992" spans="1:3" ht="14.25">
      <c r="A992" s="65"/>
      <c r="B992" s="65"/>
      <c r="C992" s="66"/>
    </row>
    <row r="993" spans="1:3" ht="14.25">
      <c r="A993" s="65"/>
      <c r="B993" s="65"/>
      <c r="C993" s="66"/>
    </row>
    <row r="994" spans="1:3" ht="14.25">
      <c r="A994" s="65"/>
      <c r="B994" s="65"/>
      <c r="C994" s="66"/>
    </row>
    <row r="995" spans="1:3" ht="14.25">
      <c r="A995" s="65"/>
      <c r="B995" s="65"/>
      <c r="C995" s="66"/>
    </row>
    <row r="996" spans="1:3" ht="14.25">
      <c r="A996" s="65"/>
      <c r="B996" s="65"/>
      <c r="C996" s="66"/>
    </row>
    <row r="997" spans="1:3" ht="14.25">
      <c r="A997" s="65"/>
      <c r="B997" s="65"/>
      <c r="C997" s="66"/>
    </row>
    <row r="998" spans="1:3" ht="14.25">
      <c r="A998" s="65"/>
      <c r="B998" s="65"/>
      <c r="C998" s="66"/>
    </row>
    <row r="999" spans="1:3" ht="14.25">
      <c r="A999" s="65"/>
      <c r="B999" s="65"/>
      <c r="C999" s="66"/>
    </row>
    <row r="1000" spans="1:3" ht="14.25">
      <c r="A1000" s="65"/>
      <c r="B1000" s="65"/>
      <c r="C1000" s="66"/>
    </row>
    <row r="1001" spans="1:3" ht="14.25">
      <c r="A1001" s="65"/>
      <c r="B1001" s="65"/>
      <c r="C1001" s="66"/>
    </row>
    <row r="1002" spans="1:3" ht="14.25">
      <c r="A1002" s="65"/>
      <c r="B1002" s="65"/>
      <c r="C1002" s="66"/>
    </row>
    <row r="1003" spans="1:3" ht="14.25">
      <c r="A1003" s="65"/>
      <c r="B1003" s="65"/>
      <c r="C1003" s="66"/>
    </row>
    <row r="1004" spans="1:3" ht="14.25">
      <c r="A1004" s="65"/>
      <c r="B1004" s="65"/>
      <c r="C1004" s="66"/>
    </row>
    <row r="1005" spans="1:3" ht="14.25">
      <c r="A1005" s="65"/>
      <c r="B1005" s="65"/>
      <c r="C1005" s="66"/>
    </row>
    <row r="1006" spans="1:3" ht="14.25">
      <c r="A1006" s="65"/>
      <c r="B1006" s="65"/>
      <c r="C1006" s="66"/>
    </row>
    <row r="1007" spans="1:3" ht="14.25">
      <c r="A1007" s="65"/>
      <c r="B1007" s="65"/>
      <c r="C1007" s="66"/>
    </row>
    <row r="1008" spans="1:3" ht="14.25">
      <c r="A1008" s="65"/>
      <c r="B1008" s="65"/>
      <c r="C1008" s="66"/>
    </row>
    <row r="1009" spans="1:3" ht="14.25">
      <c r="A1009" s="65"/>
      <c r="B1009" s="65"/>
      <c r="C1009" s="66"/>
    </row>
    <row r="1010" spans="1:3" ht="14.25">
      <c r="A1010" s="65"/>
      <c r="B1010" s="65"/>
      <c r="C1010" s="66"/>
    </row>
    <row r="1011" spans="1:3" ht="14.25">
      <c r="A1011" s="65"/>
      <c r="B1011" s="65"/>
      <c r="C1011" s="66"/>
    </row>
    <row r="1012" spans="1:3" ht="14.25">
      <c r="A1012" s="65"/>
      <c r="B1012" s="65"/>
      <c r="C1012" s="66"/>
    </row>
    <row r="1013" spans="1:3" ht="14.25">
      <c r="A1013" s="65"/>
      <c r="B1013" s="65"/>
      <c r="C1013" s="66"/>
    </row>
    <row r="1014" spans="1:3" ht="14.25">
      <c r="A1014" s="65"/>
      <c r="B1014" s="65"/>
      <c r="C1014" s="66"/>
    </row>
    <row r="1015" spans="1:3" ht="14.25">
      <c r="A1015" s="65"/>
      <c r="B1015" s="65"/>
      <c r="C1015" s="66"/>
    </row>
    <row r="1016" spans="1:3" ht="14.25">
      <c r="A1016" s="65"/>
      <c r="B1016" s="65"/>
      <c r="C1016" s="66"/>
    </row>
    <row r="1017" spans="1:3" ht="14.25">
      <c r="A1017" s="65"/>
      <c r="B1017" s="65"/>
      <c r="C1017" s="66"/>
    </row>
    <row r="1018" spans="1:3" ht="14.25">
      <c r="A1018" s="65"/>
      <c r="B1018" s="65"/>
      <c r="C1018" s="66"/>
    </row>
    <row r="1019" spans="1:3" ht="14.25">
      <c r="A1019" s="65"/>
      <c r="B1019" s="65"/>
      <c r="C1019" s="66"/>
    </row>
    <row r="1020" spans="1:3" ht="14.25">
      <c r="A1020" s="65"/>
      <c r="B1020" s="65"/>
      <c r="C1020" s="66"/>
    </row>
    <row r="1021" spans="1:3" ht="14.25">
      <c r="A1021" s="65"/>
      <c r="B1021" s="65"/>
      <c r="C1021" s="66"/>
    </row>
    <row r="1022" spans="1:3" ht="14.25">
      <c r="A1022" s="65"/>
      <c r="B1022" s="65"/>
      <c r="C1022" s="66"/>
    </row>
    <row r="1023" spans="1:3" ht="14.25">
      <c r="A1023" s="65"/>
      <c r="B1023" s="65"/>
      <c r="C1023" s="66"/>
    </row>
    <row r="1024" spans="1:3" ht="14.25">
      <c r="A1024" s="65"/>
      <c r="B1024" s="65"/>
      <c r="C1024" s="66"/>
    </row>
    <row r="1025" spans="1:3" ht="14.25">
      <c r="A1025" s="65"/>
      <c r="B1025" s="65"/>
      <c r="C1025" s="66"/>
    </row>
    <row r="1026" spans="1:3" ht="14.25">
      <c r="A1026" s="65"/>
      <c r="B1026" s="65"/>
      <c r="C1026" s="66"/>
    </row>
    <row r="1027" spans="1:3" ht="14.25">
      <c r="A1027" s="65"/>
      <c r="B1027" s="65"/>
      <c r="C1027" s="66"/>
    </row>
    <row r="1028" spans="1:3" ht="14.25">
      <c r="A1028" s="65"/>
      <c r="B1028" s="65"/>
      <c r="C1028" s="66"/>
    </row>
    <row r="1029" spans="1:3" ht="14.25">
      <c r="A1029" s="65"/>
      <c r="B1029" s="65"/>
      <c r="C1029" s="66"/>
    </row>
    <row r="1030" spans="1:3" ht="14.25">
      <c r="A1030" s="65"/>
      <c r="B1030" s="65"/>
      <c r="C1030" s="66"/>
    </row>
    <row r="1031" spans="1:3" ht="14.25">
      <c r="A1031" s="65"/>
      <c r="B1031" s="65"/>
      <c r="C1031" s="66"/>
    </row>
    <row r="1032" spans="1:3" ht="14.25">
      <c r="A1032" s="65"/>
      <c r="B1032" s="65"/>
      <c r="C1032" s="66"/>
    </row>
    <row r="1033" spans="1:3" ht="14.25">
      <c r="A1033" s="65"/>
      <c r="B1033" s="65"/>
      <c r="C1033" s="66"/>
    </row>
    <row r="1034" spans="1:3" ht="14.25">
      <c r="A1034" s="65"/>
      <c r="B1034" s="65"/>
      <c r="C1034" s="66"/>
    </row>
    <row r="1035" spans="1:3" ht="14.25">
      <c r="A1035" s="65"/>
      <c r="B1035" s="65"/>
      <c r="C1035" s="66"/>
    </row>
    <row r="1036" spans="1:3" ht="14.25">
      <c r="A1036" s="65"/>
      <c r="B1036" s="65"/>
      <c r="C1036" s="66"/>
    </row>
    <row r="1037" spans="1:3" ht="14.25">
      <c r="A1037" s="65"/>
      <c r="B1037" s="65"/>
      <c r="C1037" s="66"/>
    </row>
    <row r="1038" spans="1:3" ht="14.25">
      <c r="A1038" s="65"/>
      <c r="B1038" s="65"/>
      <c r="C1038" s="66"/>
    </row>
    <row r="1039" spans="1:3" ht="14.25">
      <c r="A1039" s="65"/>
      <c r="B1039" s="65"/>
      <c r="C1039" s="66"/>
    </row>
    <row r="1040" spans="1:3" ht="14.25">
      <c r="A1040" s="65"/>
      <c r="B1040" s="65"/>
      <c r="C1040" s="66"/>
    </row>
    <row r="1041" spans="1:3" ht="14.25">
      <c r="A1041" s="65"/>
      <c r="B1041" s="65"/>
      <c r="C1041" s="66"/>
    </row>
    <row r="1042" spans="1:3" ht="14.25">
      <c r="A1042" s="65"/>
      <c r="B1042" s="65"/>
      <c r="C1042" s="66"/>
    </row>
    <row r="1043" spans="1:3" ht="14.25">
      <c r="A1043" s="65"/>
      <c r="B1043" s="65"/>
      <c r="C1043" s="66"/>
    </row>
    <row r="1044" spans="1:3" ht="14.25">
      <c r="A1044" s="65"/>
      <c r="B1044" s="65"/>
      <c r="C1044" s="66"/>
    </row>
    <row r="1045" spans="1:3" ht="14.25">
      <c r="A1045" s="65"/>
      <c r="B1045" s="65"/>
      <c r="C1045" s="66"/>
    </row>
    <row r="1046" spans="1:3" ht="14.25">
      <c r="A1046" s="65"/>
      <c r="B1046" s="65"/>
      <c r="C1046" s="66"/>
    </row>
    <row r="1047" spans="1:3" ht="14.25">
      <c r="A1047" s="65"/>
      <c r="B1047" s="65"/>
      <c r="C1047" s="66"/>
    </row>
    <row r="1048" spans="1:3" ht="14.25">
      <c r="A1048" s="65"/>
      <c r="B1048" s="65"/>
      <c r="C1048" s="66"/>
    </row>
    <row r="1049" spans="1:3" ht="14.25">
      <c r="A1049" s="65"/>
      <c r="B1049" s="65"/>
      <c r="C1049" s="66"/>
    </row>
    <row r="1050" spans="1:3" ht="14.25">
      <c r="A1050" s="65"/>
      <c r="B1050" s="65"/>
      <c r="C1050" s="66"/>
    </row>
    <row r="1051" spans="1:3" ht="14.25">
      <c r="A1051" s="65"/>
      <c r="B1051" s="65"/>
      <c r="C1051" s="66"/>
    </row>
    <row r="1052" spans="1:3" ht="14.25">
      <c r="A1052" s="65"/>
      <c r="B1052" s="65"/>
      <c r="C1052" s="66"/>
    </row>
    <row r="1053" spans="1:3" ht="14.25">
      <c r="A1053" s="65"/>
      <c r="B1053" s="65"/>
      <c r="C1053" s="66"/>
    </row>
    <row r="1054" spans="1:3" ht="14.25">
      <c r="A1054" s="65"/>
      <c r="B1054" s="65"/>
      <c r="C1054" s="66"/>
    </row>
    <row r="1055" spans="1:3" ht="14.25">
      <c r="A1055" s="65"/>
      <c r="B1055" s="65"/>
      <c r="C1055" s="66"/>
    </row>
    <row r="1056" spans="1:3" ht="14.25">
      <c r="A1056" s="65"/>
      <c r="B1056" s="65"/>
      <c r="C1056" s="66"/>
    </row>
  </sheetData>
  <mergeCells count="149">
    <mergeCell ref="H3:I3"/>
    <mergeCell ref="C3:C4"/>
    <mergeCell ref="X3:X4"/>
    <mergeCell ref="D60:E60"/>
    <mergeCell ref="X6:X16"/>
    <mergeCell ref="D1:X2"/>
    <mergeCell ref="F22:W22"/>
    <mergeCell ref="F28:W28"/>
    <mergeCell ref="F61:W61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F65:W65"/>
    <mergeCell ref="D21:E21"/>
    <mergeCell ref="D22:E22"/>
    <mergeCell ref="D16:E16"/>
    <mergeCell ref="D17:E17"/>
    <mergeCell ref="D18:E18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A1:B2"/>
    <mergeCell ref="A3:A4"/>
    <mergeCell ref="B3:B4"/>
    <mergeCell ref="F3:G3"/>
    <mergeCell ref="J3:L3"/>
    <mergeCell ref="M3:N3"/>
    <mergeCell ref="D19:E19"/>
    <mergeCell ref="D20:E20"/>
    <mergeCell ref="D5:E5"/>
    <mergeCell ref="D6:E6"/>
    <mergeCell ref="D7:E7"/>
    <mergeCell ref="D8:E8"/>
    <mergeCell ref="D9:E9"/>
    <mergeCell ref="D10:E10"/>
    <mergeCell ref="D11:E11"/>
    <mergeCell ref="F5:V5"/>
    <mergeCell ref="O3:P3"/>
    <mergeCell ref="Q3:R3"/>
    <mergeCell ref="S3:T3"/>
    <mergeCell ref="U3:W3"/>
    <mergeCell ref="D12:E12"/>
    <mergeCell ref="D13:E13"/>
    <mergeCell ref="D14:E14"/>
    <mergeCell ref="D15:E15"/>
    <mergeCell ref="D56:E56"/>
    <mergeCell ref="D61:E61"/>
    <mergeCell ref="D57:E57"/>
    <mergeCell ref="D58:E58"/>
    <mergeCell ref="D59:E59"/>
    <mergeCell ref="D62:E62"/>
    <mergeCell ref="D63:E63"/>
    <mergeCell ref="D64:E64"/>
    <mergeCell ref="D65:E65"/>
    <mergeCell ref="D70:E70"/>
    <mergeCell ref="D66:E66"/>
    <mergeCell ref="D67:E67"/>
    <mergeCell ref="D68:E68"/>
    <mergeCell ref="D69:E69"/>
    <mergeCell ref="G71:W71"/>
    <mergeCell ref="D72:E72"/>
    <mergeCell ref="D92:E92"/>
    <mergeCell ref="D93:E93"/>
    <mergeCell ref="D94:E94"/>
    <mergeCell ref="D95:E95"/>
    <mergeCell ref="D96:E96"/>
    <mergeCell ref="D97:E97"/>
    <mergeCell ref="D98:E98"/>
    <mergeCell ref="D71:E71"/>
    <mergeCell ref="F78:W78"/>
    <mergeCell ref="D90:E90"/>
    <mergeCell ref="D91:E91"/>
    <mergeCell ref="D79:E79"/>
    <mergeCell ref="D80:E80"/>
    <mergeCell ref="D81:E81"/>
    <mergeCell ref="D76:E76"/>
    <mergeCell ref="D77:E77"/>
    <mergeCell ref="D78:E78"/>
    <mergeCell ref="D82:E82"/>
    <mergeCell ref="D83:E83"/>
    <mergeCell ref="D115:E115"/>
    <mergeCell ref="D116:E116"/>
    <mergeCell ref="D117:E117"/>
    <mergeCell ref="D129:E129"/>
    <mergeCell ref="D130:E130"/>
    <mergeCell ref="D131:E131"/>
    <mergeCell ref="D132:E132"/>
    <mergeCell ref="D120:E120"/>
    <mergeCell ref="D121:E121"/>
    <mergeCell ref="D122:E122"/>
    <mergeCell ref="D123:E123"/>
    <mergeCell ref="D124:E124"/>
    <mergeCell ref="D125:E125"/>
    <mergeCell ref="D126:E126"/>
    <mergeCell ref="D128:E128"/>
    <mergeCell ref="D118:E118"/>
    <mergeCell ref="D119:E119"/>
    <mergeCell ref="D127:E127"/>
    <mergeCell ref="C1:C2"/>
    <mergeCell ref="D109:E109"/>
    <mergeCell ref="D110:E110"/>
    <mergeCell ref="D111:E111"/>
    <mergeCell ref="D112:E112"/>
    <mergeCell ref="D113:E113"/>
    <mergeCell ref="D114:E114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99:E99"/>
    <mergeCell ref="D73:E73"/>
    <mergeCell ref="D74:E74"/>
    <mergeCell ref="D75:E75"/>
    <mergeCell ref="D84:E84"/>
    <mergeCell ref="D85:E85"/>
    <mergeCell ref="D86:E86"/>
    <mergeCell ref="D89:E8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>
    <oddFooter>&amp;LPrepared and Reviewed By: Gajendra Kumawat&amp;CApproved By:&amp;R&amp;P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F56C-4B3C-4084-A462-1F7A05F6A38A}">
  <dimension ref="A1:C41"/>
  <sheetViews>
    <sheetView tabSelected="1" topLeftCell="A29" workbookViewId="0">
      <selection activeCell="C41" sqref="C41"/>
    </sheetView>
  </sheetViews>
  <sheetFormatPr defaultColWidth="72" defaultRowHeight="14.25"/>
  <cols>
    <col min="1" max="1" width="11.140625" style="9" customWidth="1"/>
    <col min="2" max="2" width="72" style="9"/>
    <col min="3" max="3" width="38.7109375" style="9" customWidth="1"/>
    <col min="4" max="16384" width="72" style="9"/>
  </cols>
  <sheetData>
    <row r="1" spans="1:3" ht="18">
      <c r="A1" s="69" t="s">
        <v>151</v>
      </c>
      <c r="B1" s="70" t="s">
        <v>24</v>
      </c>
      <c r="C1" s="70" t="s">
        <v>152</v>
      </c>
    </row>
    <row r="2" spans="1:3">
      <c r="A2" s="71">
        <v>1</v>
      </c>
      <c r="B2" s="72" t="s">
        <v>153</v>
      </c>
      <c r="C2" s="73">
        <v>1</v>
      </c>
    </row>
    <row r="3" spans="1:3" ht="16.5">
      <c r="A3" s="71">
        <v>2</v>
      </c>
      <c r="B3" s="74" t="s">
        <v>154</v>
      </c>
      <c r="C3" s="73"/>
    </row>
    <row r="4" spans="1:3">
      <c r="A4" s="71">
        <v>3</v>
      </c>
      <c r="B4" s="71" t="s">
        <v>155</v>
      </c>
      <c r="C4" s="73"/>
    </row>
    <row r="5" spans="1:3">
      <c r="A5" s="71">
        <v>4</v>
      </c>
      <c r="B5" s="71" t="s">
        <v>156</v>
      </c>
      <c r="C5" s="75"/>
    </row>
    <row r="6" spans="1:3" ht="15">
      <c r="A6" s="71">
        <v>5</v>
      </c>
      <c r="B6" s="71" t="s">
        <v>157</v>
      </c>
      <c r="C6" s="76">
        <v>1.5</v>
      </c>
    </row>
    <row r="7" spans="1:3" ht="15">
      <c r="A7" s="71">
        <v>6</v>
      </c>
      <c r="B7" s="71" t="s">
        <v>158</v>
      </c>
      <c r="C7" s="76">
        <v>1</v>
      </c>
    </row>
    <row r="8" spans="1:3" ht="33.75">
      <c r="A8" s="71">
        <v>7</v>
      </c>
      <c r="B8" s="77" t="s">
        <v>159</v>
      </c>
      <c r="C8" s="73">
        <v>1</v>
      </c>
    </row>
    <row r="9" spans="1:3" ht="16.5">
      <c r="A9" s="71">
        <v>8</v>
      </c>
      <c r="B9" s="77" t="s">
        <v>160</v>
      </c>
      <c r="C9" s="73"/>
    </row>
    <row r="10" spans="1:3">
      <c r="A10" s="71">
        <v>9</v>
      </c>
      <c r="B10" s="71" t="s">
        <v>161</v>
      </c>
      <c r="C10" s="73"/>
    </row>
    <row r="11" spans="1:3" ht="16.5">
      <c r="A11" s="71">
        <v>10</v>
      </c>
      <c r="B11" s="74" t="s">
        <v>162</v>
      </c>
      <c r="C11" s="75"/>
    </row>
    <row r="12" spans="1:3" ht="15">
      <c r="A12" s="71">
        <v>11</v>
      </c>
      <c r="B12" s="71" t="s">
        <v>163</v>
      </c>
      <c r="C12" s="76">
        <v>0.25</v>
      </c>
    </row>
    <row r="13" spans="1:3" ht="15">
      <c r="A13" s="71">
        <v>12</v>
      </c>
      <c r="B13" s="71" t="s">
        <v>164</v>
      </c>
      <c r="C13" s="76">
        <v>0.25</v>
      </c>
    </row>
    <row r="14" spans="1:3" ht="15">
      <c r="A14" s="71">
        <v>13</v>
      </c>
      <c r="B14" s="71" t="s">
        <v>165</v>
      </c>
      <c r="C14" s="76">
        <v>5</v>
      </c>
    </row>
    <row r="15" spans="1:3">
      <c r="A15" s="71">
        <v>14</v>
      </c>
      <c r="B15" s="71" t="s">
        <v>166</v>
      </c>
      <c r="C15" s="73">
        <v>1</v>
      </c>
    </row>
    <row r="16" spans="1:3">
      <c r="A16" s="71">
        <v>15</v>
      </c>
      <c r="B16" s="71" t="s">
        <v>167</v>
      </c>
      <c r="C16" s="75"/>
    </row>
    <row r="17" spans="1:3" ht="14.25" customHeight="1">
      <c r="A17" s="71">
        <v>16</v>
      </c>
      <c r="B17" s="71" t="s">
        <v>168</v>
      </c>
      <c r="C17" s="73">
        <v>1.5</v>
      </c>
    </row>
    <row r="18" spans="1:3" ht="14.25" customHeight="1">
      <c r="A18" s="71">
        <v>17</v>
      </c>
      <c r="B18" s="71" t="s">
        <v>169</v>
      </c>
      <c r="C18" s="73"/>
    </row>
    <row r="19" spans="1:3" ht="14.25" customHeight="1">
      <c r="A19" s="71">
        <v>18</v>
      </c>
      <c r="B19" s="71" t="s">
        <v>170</v>
      </c>
      <c r="C19" s="73"/>
    </row>
    <row r="20" spans="1:3" ht="14.25" customHeight="1">
      <c r="A20" s="71">
        <v>19</v>
      </c>
      <c r="B20" s="71" t="s">
        <v>171</v>
      </c>
      <c r="C20" s="73"/>
    </row>
    <row r="21" spans="1:3" ht="14.25" customHeight="1">
      <c r="A21" s="71">
        <v>20</v>
      </c>
      <c r="B21" s="71" t="s">
        <v>172</v>
      </c>
      <c r="C21" s="75"/>
    </row>
    <row r="22" spans="1:3" ht="15">
      <c r="A22" s="71">
        <v>21</v>
      </c>
      <c r="B22" s="71" t="s">
        <v>173</v>
      </c>
      <c r="C22" s="76">
        <v>0.5</v>
      </c>
    </row>
    <row r="23" spans="1:3" ht="15">
      <c r="A23" s="71">
        <v>22</v>
      </c>
      <c r="B23" s="71" t="s">
        <v>174</v>
      </c>
      <c r="C23" s="76">
        <v>2</v>
      </c>
    </row>
    <row r="24" spans="1:3" ht="15">
      <c r="A24" s="71">
        <v>23</v>
      </c>
      <c r="B24" s="79" t="s">
        <v>175</v>
      </c>
      <c r="C24" s="76">
        <v>6</v>
      </c>
    </row>
    <row r="25" spans="1:3" ht="15">
      <c r="A25" s="71">
        <v>24</v>
      </c>
      <c r="B25" s="71" t="s">
        <v>176</v>
      </c>
      <c r="C25" s="76">
        <v>1.5</v>
      </c>
    </row>
    <row r="26" spans="1:3" ht="15">
      <c r="A26" s="71">
        <v>25</v>
      </c>
      <c r="B26" s="71" t="s">
        <v>177</v>
      </c>
      <c r="C26" s="76">
        <v>5</v>
      </c>
    </row>
    <row r="27" spans="1:3" ht="15">
      <c r="A27" s="71">
        <v>26</v>
      </c>
      <c r="B27" s="71" t="s">
        <v>178</v>
      </c>
      <c r="C27" s="76">
        <v>2</v>
      </c>
    </row>
    <row r="28" spans="1:3" ht="16.5">
      <c r="A28" s="71">
        <v>27</v>
      </c>
      <c r="B28" s="77" t="s">
        <v>179</v>
      </c>
      <c r="C28" s="76">
        <v>1</v>
      </c>
    </row>
    <row r="29" spans="1:3" ht="15">
      <c r="A29" s="71">
        <v>28</v>
      </c>
      <c r="B29" s="71" t="s">
        <v>180</v>
      </c>
      <c r="C29" s="76">
        <v>1.5</v>
      </c>
    </row>
    <row r="30" spans="1:3" ht="15">
      <c r="A30" s="71">
        <v>29</v>
      </c>
      <c r="B30" s="79" t="s">
        <v>181</v>
      </c>
      <c r="C30" s="76">
        <v>4</v>
      </c>
    </row>
    <row r="31" spans="1:3" ht="15">
      <c r="A31" s="71">
        <v>30</v>
      </c>
      <c r="B31" s="71" t="s">
        <v>182</v>
      </c>
      <c r="C31" s="76">
        <v>1</v>
      </c>
    </row>
    <row r="32" spans="1:3" ht="15">
      <c r="A32" s="71">
        <v>31</v>
      </c>
      <c r="B32" s="71" t="s">
        <v>183</v>
      </c>
      <c r="C32" s="76">
        <v>1</v>
      </c>
    </row>
    <row r="33" spans="1:3" ht="15">
      <c r="A33" s="71">
        <v>32</v>
      </c>
      <c r="B33" s="71" t="s">
        <v>184</v>
      </c>
      <c r="C33" s="76">
        <v>2</v>
      </c>
    </row>
    <row r="34" spans="1:3" ht="15">
      <c r="A34" s="71">
        <v>33</v>
      </c>
      <c r="B34" s="80" t="s">
        <v>185</v>
      </c>
      <c r="C34" s="81">
        <v>1</v>
      </c>
    </row>
    <row r="35" spans="1:3" ht="15">
      <c r="A35" s="71">
        <v>34</v>
      </c>
      <c r="B35" s="71" t="s">
        <v>186</v>
      </c>
      <c r="C35" s="82">
        <v>1</v>
      </c>
    </row>
    <row r="36" spans="1:3" ht="15">
      <c r="A36" s="71">
        <v>35</v>
      </c>
      <c r="B36" s="83" t="s">
        <v>187</v>
      </c>
      <c r="C36" s="81">
        <v>4</v>
      </c>
    </row>
    <row r="37" spans="1:3" ht="15">
      <c r="A37" s="80">
        <v>36</v>
      </c>
      <c r="B37" s="80" t="s">
        <v>188</v>
      </c>
      <c r="C37" s="84">
        <v>3</v>
      </c>
    </row>
    <row r="38" spans="1:3" ht="15">
      <c r="A38" s="80">
        <v>37</v>
      </c>
      <c r="B38" s="80" t="s">
        <v>189</v>
      </c>
      <c r="C38" s="84">
        <v>1</v>
      </c>
    </row>
    <row r="39" spans="1:3" ht="15">
      <c r="A39" s="78">
        <v>38</v>
      </c>
      <c r="B39" s="78" t="s">
        <v>190</v>
      </c>
      <c r="C39" s="59">
        <v>1</v>
      </c>
    </row>
    <row r="41" spans="1:3" ht="15">
      <c r="B41" s="85" t="s">
        <v>191</v>
      </c>
      <c r="C41" s="86">
        <f>SUM(C2:C39)</f>
        <v>51</v>
      </c>
    </row>
  </sheetData>
  <mergeCells count="4">
    <mergeCell ref="C2:C5"/>
    <mergeCell ref="C8:C11"/>
    <mergeCell ref="C15:C16"/>
    <mergeCell ref="C17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3DEF-878B-464C-B8AF-32C04A819C15}">
  <dimension ref="A1:C104"/>
  <sheetViews>
    <sheetView workbookViewId="0">
      <selection activeCell="D7" sqref="D7"/>
    </sheetView>
  </sheetViews>
  <sheetFormatPr defaultColWidth="64.28515625" defaultRowHeight="14.25"/>
  <cols>
    <col min="1" max="1" width="16.7109375" style="9" customWidth="1"/>
    <col min="2" max="2" width="64.28515625" style="9"/>
    <col min="3" max="3" width="16.7109375" style="9" customWidth="1"/>
    <col min="4" max="16384" width="64.28515625" style="9"/>
  </cols>
  <sheetData>
    <row r="1" spans="1:3" ht="18">
      <c r="A1" s="15" t="s">
        <v>192</v>
      </c>
      <c r="B1" s="16"/>
      <c r="C1" s="17"/>
    </row>
    <row r="2" spans="1:3" ht="20.25">
      <c r="A2" s="18" t="s">
        <v>193</v>
      </c>
      <c r="B2" s="19" t="s">
        <v>194</v>
      </c>
      <c r="C2" s="19" t="s">
        <v>195</v>
      </c>
    </row>
    <row r="3" spans="1:3" ht="16.5">
      <c r="A3" s="10" t="s">
        <v>196</v>
      </c>
      <c r="B3" s="11" t="s">
        <v>197</v>
      </c>
      <c r="C3" s="12" t="s">
        <v>198</v>
      </c>
    </row>
    <row r="4" spans="1:3" ht="16.5">
      <c r="A4" s="10" t="s">
        <v>199</v>
      </c>
      <c r="B4" s="11" t="s">
        <v>200</v>
      </c>
      <c r="C4" s="12" t="s">
        <v>201</v>
      </c>
    </row>
    <row r="5" spans="1:3" ht="16.5">
      <c r="A5" s="10" t="s">
        <v>202</v>
      </c>
      <c r="B5" s="11" t="s">
        <v>203</v>
      </c>
      <c r="C5" s="12" t="s">
        <v>204</v>
      </c>
    </row>
    <row r="6" spans="1:3" ht="16.5">
      <c r="A6" s="10" t="s">
        <v>205</v>
      </c>
      <c r="B6" s="11" t="s">
        <v>206</v>
      </c>
      <c r="C6" s="12" t="s">
        <v>207</v>
      </c>
    </row>
    <row r="7" spans="1:3" ht="16.5">
      <c r="A7" s="10" t="s">
        <v>208</v>
      </c>
      <c r="B7" s="11" t="s">
        <v>209</v>
      </c>
      <c r="C7" s="12" t="s">
        <v>207</v>
      </c>
    </row>
    <row r="8" spans="1:3" ht="18.75" customHeight="1">
      <c r="A8" s="10" t="s">
        <v>210</v>
      </c>
      <c r="B8" s="11" t="s">
        <v>211</v>
      </c>
      <c r="C8" s="12" t="s">
        <v>198</v>
      </c>
    </row>
    <row r="9" spans="1:3" ht="16.5">
      <c r="A9" s="10" t="s">
        <v>212</v>
      </c>
      <c r="B9" s="11" t="s">
        <v>213</v>
      </c>
      <c r="C9" s="12" t="s">
        <v>204</v>
      </c>
    </row>
    <row r="10" spans="1:3" ht="19.5" customHeight="1">
      <c r="A10" s="10" t="s">
        <v>214</v>
      </c>
      <c r="B10" s="11" t="s">
        <v>215</v>
      </c>
      <c r="C10" s="12" t="s">
        <v>198</v>
      </c>
    </row>
    <row r="11" spans="1:3" ht="16.5">
      <c r="A11" s="10" t="s">
        <v>216</v>
      </c>
      <c r="B11" s="11" t="s">
        <v>217</v>
      </c>
      <c r="C11" s="12" t="s">
        <v>198</v>
      </c>
    </row>
    <row r="12" spans="1:3" ht="16.5">
      <c r="A12" s="10" t="s">
        <v>218</v>
      </c>
      <c r="B12" s="11" t="s">
        <v>219</v>
      </c>
      <c r="C12" s="12" t="s">
        <v>198</v>
      </c>
    </row>
    <row r="13" spans="1:3" ht="16.5">
      <c r="A13" s="10" t="s">
        <v>220</v>
      </c>
      <c r="B13" s="11" t="s">
        <v>221</v>
      </c>
      <c r="C13" s="12" t="s">
        <v>198</v>
      </c>
    </row>
    <row r="14" spans="1:3" ht="16.5">
      <c r="A14" s="10" t="s">
        <v>222</v>
      </c>
      <c r="B14" s="11" t="s">
        <v>223</v>
      </c>
      <c r="C14" s="12" t="s">
        <v>207</v>
      </c>
    </row>
    <row r="15" spans="1:3" ht="16.5">
      <c r="A15" s="10" t="s">
        <v>224</v>
      </c>
      <c r="B15" s="11" t="s">
        <v>225</v>
      </c>
      <c r="C15" s="12" t="s">
        <v>207</v>
      </c>
    </row>
    <row r="16" spans="1:3" ht="16.5">
      <c r="A16" s="10" t="s">
        <v>226</v>
      </c>
      <c r="B16" s="11" t="s">
        <v>227</v>
      </c>
      <c r="C16" s="12" t="s">
        <v>228</v>
      </c>
    </row>
    <row r="17" spans="1:3" ht="16.5">
      <c r="A17" s="10" t="s">
        <v>229</v>
      </c>
      <c r="B17" s="11" t="s">
        <v>230</v>
      </c>
      <c r="C17" s="12" t="s">
        <v>228</v>
      </c>
    </row>
    <row r="18" spans="1:3" ht="16.5">
      <c r="A18" s="10" t="s">
        <v>231</v>
      </c>
      <c r="B18" s="11" t="s">
        <v>232</v>
      </c>
      <c r="C18" s="12" t="s">
        <v>233</v>
      </c>
    </row>
    <row r="19" spans="1:3" ht="16.5">
      <c r="A19" s="10" t="s">
        <v>234</v>
      </c>
      <c r="B19" s="11" t="s">
        <v>235</v>
      </c>
      <c r="C19" s="12" t="s">
        <v>233</v>
      </c>
    </row>
    <row r="20" spans="1:3" ht="16.5">
      <c r="A20" s="10" t="s">
        <v>236</v>
      </c>
      <c r="B20" s="11" t="s">
        <v>237</v>
      </c>
      <c r="C20" s="12" t="s">
        <v>198</v>
      </c>
    </row>
    <row r="21" spans="1:3" ht="16.5">
      <c r="A21" s="10" t="s">
        <v>238</v>
      </c>
      <c r="B21" s="11" t="s">
        <v>239</v>
      </c>
      <c r="C21" s="12" t="s">
        <v>198</v>
      </c>
    </row>
    <row r="22" spans="1:3" ht="16.5">
      <c r="A22" s="10" t="s">
        <v>240</v>
      </c>
      <c r="B22" s="11" t="s">
        <v>241</v>
      </c>
      <c r="C22" s="12" t="s">
        <v>242</v>
      </c>
    </row>
    <row r="23" spans="1:3" ht="16.5">
      <c r="A23" s="10" t="s">
        <v>243</v>
      </c>
      <c r="B23" s="11" t="s">
        <v>244</v>
      </c>
      <c r="C23" s="12" t="s">
        <v>198</v>
      </c>
    </row>
    <row r="24" spans="1:3" ht="16.5">
      <c r="A24" s="10" t="s">
        <v>245</v>
      </c>
      <c r="B24" s="11" t="s">
        <v>88</v>
      </c>
      <c r="C24" s="12" t="s">
        <v>198</v>
      </c>
    </row>
    <row r="25" spans="1:3" ht="16.5">
      <c r="A25" s="10" t="s">
        <v>246</v>
      </c>
      <c r="B25" s="11" t="s">
        <v>247</v>
      </c>
      <c r="C25" s="12" t="s">
        <v>242</v>
      </c>
    </row>
    <row r="26" spans="1:3" ht="16.5">
      <c r="A26" s="10" t="s">
        <v>248</v>
      </c>
      <c r="B26" s="11" t="s">
        <v>249</v>
      </c>
      <c r="C26" s="12" t="s">
        <v>242</v>
      </c>
    </row>
    <row r="27" spans="1:3" ht="16.5">
      <c r="A27" s="10" t="s">
        <v>250</v>
      </c>
      <c r="B27" s="11" t="s">
        <v>251</v>
      </c>
      <c r="C27" s="12" t="s">
        <v>242</v>
      </c>
    </row>
    <row r="28" spans="1:3" ht="16.5">
      <c r="A28" s="10" t="s">
        <v>252</v>
      </c>
      <c r="B28" s="11" t="s">
        <v>253</v>
      </c>
      <c r="C28" s="12" t="s">
        <v>198</v>
      </c>
    </row>
    <row r="29" spans="1:3" ht="16.5">
      <c r="A29" s="10" t="s">
        <v>254</v>
      </c>
      <c r="B29" s="11" t="s">
        <v>133</v>
      </c>
      <c r="C29" s="12" t="s">
        <v>198</v>
      </c>
    </row>
    <row r="30" spans="1:3" ht="16.5">
      <c r="A30" s="10" t="s">
        <v>255</v>
      </c>
      <c r="B30" s="11" t="s">
        <v>256</v>
      </c>
      <c r="C30" s="12" t="s">
        <v>198</v>
      </c>
    </row>
    <row r="31" spans="1:3" ht="16.5">
      <c r="A31" s="10" t="s">
        <v>257</v>
      </c>
      <c r="B31" s="11" t="s">
        <v>258</v>
      </c>
      <c r="C31" s="12" t="s">
        <v>198</v>
      </c>
    </row>
    <row r="32" spans="1:3" ht="16.5">
      <c r="A32" s="10" t="s">
        <v>259</v>
      </c>
      <c r="B32" s="11" t="s">
        <v>260</v>
      </c>
      <c r="C32" s="12" t="s">
        <v>204</v>
      </c>
    </row>
    <row r="33" spans="1:3" ht="16.5">
      <c r="A33" s="10" t="s">
        <v>261</v>
      </c>
      <c r="B33" s="11" t="s">
        <v>262</v>
      </c>
      <c r="C33" s="12" t="s">
        <v>263</v>
      </c>
    </row>
    <row r="34" spans="1:3" ht="16.5">
      <c r="A34" s="10" t="s">
        <v>264</v>
      </c>
      <c r="B34" s="11" t="s">
        <v>265</v>
      </c>
      <c r="C34" s="12" t="s">
        <v>204</v>
      </c>
    </row>
    <row r="35" spans="1:3" ht="16.5">
      <c r="A35" s="10" t="s">
        <v>266</v>
      </c>
      <c r="B35" s="11" t="s">
        <v>267</v>
      </c>
      <c r="C35" s="12" t="s">
        <v>207</v>
      </c>
    </row>
    <row r="36" spans="1:3" ht="16.5">
      <c r="A36" s="10" t="s">
        <v>268</v>
      </c>
      <c r="B36" s="11" t="s">
        <v>269</v>
      </c>
      <c r="C36" s="12" t="s">
        <v>204</v>
      </c>
    </row>
    <row r="37" spans="1:3" ht="16.5">
      <c r="A37" s="10" t="s">
        <v>270</v>
      </c>
      <c r="B37" s="11" t="s">
        <v>271</v>
      </c>
      <c r="C37" s="12" t="s">
        <v>198</v>
      </c>
    </row>
    <row r="38" spans="1:3" ht="16.5">
      <c r="A38" s="10" t="s">
        <v>272</v>
      </c>
      <c r="B38" s="11" t="s">
        <v>273</v>
      </c>
      <c r="C38" s="12" t="s">
        <v>274</v>
      </c>
    </row>
    <row r="39" spans="1:3" ht="16.5">
      <c r="A39" s="10" t="s">
        <v>275</v>
      </c>
      <c r="B39" s="11" t="s">
        <v>276</v>
      </c>
      <c r="C39" s="12" t="s">
        <v>242</v>
      </c>
    </row>
    <row r="40" spans="1:3" ht="16.5">
      <c r="A40" s="10" t="s">
        <v>277</v>
      </c>
      <c r="B40" s="11" t="s">
        <v>278</v>
      </c>
      <c r="C40" s="12" t="s">
        <v>207</v>
      </c>
    </row>
    <row r="41" spans="1:3" ht="16.5">
      <c r="A41" s="10" t="s">
        <v>279</v>
      </c>
      <c r="B41" s="11" t="s">
        <v>280</v>
      </c>
      <c r="C41" s="12" t="s">
        <v>207</v>
      </c>
    </row>
    <row r="42" spans="1:3" ht="16.5">
      <c r="A42" s="10" t="s">
        <v>281</v>
      </c>
      <c r="B42" s="11" t="s">
        <v>282</v>
      </c>
      <c r="C42" s="12" t="s">
        <v>207</v>
      </c>
    </row>
    <row r="43" spans="1:3" ht="16.5">
      <c r="A43" s="10" t="s">
        <v>283</v>
      </c>
      <c r="B43" s="11" t="s">
        <v>284</v>
      </c>
      <c r="C43" s="12" t="s">
        <v>198</v>
      </c>
    </row>
    <row r="44" spans="1:3" ht="16.5">
      <c r="A44" s="10" t="s">
        <v>285</v>
      </c>
      <c r="B44" s="11" t="s">
        <v>286</v>
      </c>
      <c r="C44" s="12" t="s">
        <v>207</v>
      </c>
    </row>
    <row r="45" spans="1:3" ht="16.5">
      <c r="A45" s="10" t="s">
        <v>287</v>
      </c>
      <c r="B45" s="11" t="s">
        <v>288</v>
      </c>
      <c r="C45" s="12" t="s">
        <v>198</v>
      </c>
    </row>
    <row r="46" spans="1:3" ht="16.5">
      <c r="A46" s="10" t="s">
        <v>289</v>
      </c>
      <c r="B46" s="11" t="s">
        <v>290</v>
      </c>
      <c r="C46" s="12" t="s">
        <v>204</v>
      </c>
    </row>
    <row r="47" spans="1:3" ht="16.5">
      <c r="A47" s="10" t="s">
        <v>291</v>
      </c>
      <c r="B47" s="11" t="s">
        <v>292</v>
      </c>
      <c r="C47" s="12" t="s">
        <v>198</v>
      </c>
    </row>
    <row r="48" spans="1:3" ht="16.5">
      <c r="A48" s="10" t="s">
        <v>293</v>
      </c>
      <c r="B48" s="11" t="s">
        <v>294</v>
      </c>
      <c r="C48" s="12" t="s">
        <v>204</v>
      </c>
    </row>
    <row r="49" spans="1:3" ht="16.5">
      <c r="A49" s="10" t="s">
        <v>295</v>
      </c>
      <c r="B49" s="11" t="s">
        <v>296</v>
      </c>
      <c r="C49" s="12" t="s">
        <v>207</v>
      </c>
    </row>
    <row r="50" spans="1:3" ht="16.5">
      <c r="A50" s="10" t="s">
        <v>297</v>
      </c>
      <c r="B50" s="11" t="s">
        <v>298</v>
      </c>
      <c r="C50" s="12" t="s">
        <v>198</v>
      </c>
    </row>
    <row r="51" spans="1:3" ht="16.5">
      <c r="A51" s="10" t="s">
        <v>299</v>
      </c>
      <c r="B51" s="11" t="s">
        <v>300</v>
      </c>
      <c r="C51" s="12" t="s">
        <v>228</v>
      </c>
    </row>
    <row r="52" spans="1:3" ht="16.5">
      <c r="A52" s="10" t="s">
        <v>301</v>
      </c>
      <c r="B52" s="11" t="s">
        <v>302</v>
      </c>
      <c r="C52" s="12" t="s">
        <v>198</v>
      </c>
    </row>
    <row r="53" spans="1:3" ht="16.5">
      <c r="A53" s="10" t="s">
        <v>303</v>
      </c>
      <c r="B53" s="11" t="s">
        <v>304</v>
      </c>
      <c r="C53" s="12" t="s">
        <v>204</v>
      </c>
    </row>
    <row r="54" spans="1:3" ht="16.5">
      <c r="A54" s="10" t="s">
        <v>305</v>
      </c>
      <c r="B54" s="11" t="s">
        <v>306</v>
      </c>
      <c r="C54" s="12" t="s">
        <v>307</v>
      </c>
    </row>
    <row r="55" spans="1:3" ht="16.5">
      <c r="A55" s="10" t="s">
        <v>308</v>
      </c>
      <c r="B55" s="11" t="s">
        <v>309</v>
      </c>
      <c r="C55" s="12" t="s">
        <v>204</v>
      </c>
    </row>
    <row r="56" spans="1:3" ht="16.5">
      <c r="A56" s="10" t="s">
        <v>310</v>
      </c>
      <c r="B56" s="11" t="s">
        <v>311</v>
      </c>
      <c r="C56" s="12" t="s">
        <v>198</v>
      </c>
    </row>
    <row r="57" spans="1:3" ht="16.5">
      <c r="A57" s="10" t="s">
        <v>312</v>
      </c>
      <c r="B57" s="11" t="s">
        <v>313</v>
      </c>
      <c r="C57" s="12" t="s">
        <v>198</v>
      </c>
    </row>
    <row r="58" spans="1:3" ht="16.5">
      <c r="A58" s="10" t="s">
        <v>314</v>
      </c>
      <c r="B58" s="11" t="s">
        <v>315</v>
      </c>
      <c r="C58" s="12" t="s">
        <v>198</v>
      </c>
    </row>
    <row r="59" spans="1:3" ht="16.5">
      <c r="A59" s="10" t="s">
        <v>316</v>
      </c>
      <c r="B59" s="11" t="s">
        <v>317</v>
      </c>
      <c r="C59" s="12" t="s">
        <v>198</v>
      </c>
    </row>
    <row r="60" spans="1:3" ht="16.5">
      <c r="A60" s="10" t="s">
        <v>318</v>
      </c>
      <c r="B60" s="11" t="s">
        <v>319</v>
      </c>
      <c r="C60" s="12" t="s">
        <v>263</v>
      </c>
    </row>
    <row r="61" spans="1:3" ht="16.5">
      <c r="A61" s="10" t="s">
        <v>320</v>
      </c>
      <c r="B61" s="11" t="s">
        <v>321</v>
      </c>
      <c r="C61" s="12" t="s">
        <v>198</v>
      </c>
    </row>
    <row r="62" spans="1:3" ht="16.5">
      <c r="A62" s="10" t="s">
        <v>322</v>
      </c>
      <c r="B62" s="11" t="s">
        <v>323</v>
      </c>
      <c r="C62" s="12" t="s">
        <v>198</v>
      </c>
    </row>
    <row r="63" spans="1:3" ht="16.5">
      <c r="A63" s="10" t="s">
        <v>324</v>
      </c>
      <c r="B63" s="11" t="s">
        <v>325</v>
      </c>
      <c r="C63" s="12" t="s">
        <v>242</v>
      </c>
    </row>
    <row r="64" spans="1:3" ht="16.5">
      <c r="A64" s="10" t="s">
        <v>326</v>
      </c>
      <c r="B64" s="11" t="s">
        <v>327</v>
      </c>
      <c r="C64" s="12" t="s">
        <v>242</v>
      </c>
    </row>
    <row r="65" spans="1:3" ht="16.5">
      <c r="A65" s="10" t="s">
        <v>328</v>
      </c>
      <c r="B65" s="11" t="s">
        <v>329</v>
      </c>
      <c r="C65" s="12" t="s">
        <v>198</v>
      </c>
    </row>
    <row r="66" spans="1:3" ht="16.5">
      <c r="A66" s="10" t="s">
        <v>330</v>
      </c>
      <c r="B66" s="11" t="s">
        <v>331</v>
      </c>
      <c r="C66" s="12" t="s">
        <v>198</v>
      </c>
    </row>
    <row r="67" spans="1:3" ht="16.5">
      <c r="A67" s="10" t="s">
        <v>332</v>
      </c>
      <c r="B67" s="11" t="s">
        <v>333</v>
      </c>
      <c r="C67" s="12" t="s">
        <v>207</v>
      </c>
    </row>
    <row r="68" spans="1:3" ht="16.5">
      <c r="A68" s="10" t="s">
        <v>334</v>
      </c>
      <c r="B68" s="11" t="s">
        <v>335</v>
      </c>
      <c r="C68" s="12" t="s">
        <v>207</v>
      </c>
    </row>
    <row r="69" spans="1:3" ht="16.5">
      <c r="A69" s="10" t="s">
        <v>336</v>
      </c>
      <c r="B69" s="11" t="s">
        <v>337</v>
      </c>
      <c r="C69" s="12" t="s">
        <v>198</v>
      </c>
    </row>
    <row r="70" spans="1:3" ht="16.5">
      <c r="A70" s="10" t="s">
        <v>338</v>
      </c>
      <c r="B70" s="11" t="s">
        <v>339</v>
      </c>
      <c r="C70" s="12" t="s">
        <v>198</v>
      </c>
    </row>
    <row r="71" spans="1:3" ht="16.5">
      <c r="A71" s="10" t="s">
        <v>340</v>
      </c>
      <c r="B71" s="11" t="s">
        <v>341</v>
      </c>
      <c r="C71" s="12" t="s">
        <v>198</v>
      </c>
    </row>
    <row r="72" spans="1:3" ht="16.5">
      <c r="A72" s="10" t="s">
        <v>342</v>
      </c>
      <c r="B72" s="11" t="s">
        <v>343</v>
      </c>
      <c r="C72" s="12" t="s">
        <v>207</v>
      </c>
    </row>
    <row r="73" spans="1:3" ht="16.5">
      <c r="A73" s="10" t="s">
        <v>344</v>
      </c>
      <c r="B73" s="11" t="s">
        <v>345</v>
      </c>
      <c r="C73" s="12" t="s">
        <v>198</v>
      </c>
    </row>
    <row r="74" spans="1:3" ht="16.5">
      <c r="A74" s="10" t="s">
        <v>346</v>
      </c>
      <c r="B74" s="11" t="s">
        <v>347</v>
      </c>
      <c r="C74" s="12" t="s">
        <v>198</v>
      </c>
    </row>
    <row r="75" spans="1:3" ht="16.5">
      <c r="A75" s="10" t="s">
        <v>348</v>
      </c>
      <c r="B75" s="11" t="s">
        <v>349</v>
      </c>
      <c r="C75" s="12" t="s">
        <v>198</v>
      </c>
    </row>
    <row r="76" spans="1:3" ht="16.5">
      <c r="A76" s="10" t="s">
        <v>350</v>
      </c>
      <c r="B76" s="11" t="s">
        <v>351</v>
      </c>
      <c r="C76" s="12" t="s">
        <v>207</v>
      </c>
    </row>
    <row r="77" spans="1:3" ht="16.5">
      <c r="A77" s="10" t="s">
        <v>352</v>
      </c>
      <c r="B77" s="11" t="s">
        <v>353</v>
      </c>
      <c r="C77" s="12" t="s">
        <v>198</v>
      </c>
    </row>
    <row r="78" spans="1:3" ht="16.5">
      <c r="A78" s="10" t="s">
        <v>354</v>
      </c>
      <c r="B78" s="11" t="s">
        <v>355</v>
      </c>
      <c r="C78" s="12" t="s">
        <v>198</v>
      </c>
    </row>
    <row r="79" spans="1:3" ht="16.5">
      <c r="A79" s="10" t="s">
        <v>356</v>
      </c>
      <c r="B79" s="11" t="s">
        <v>357</v>
      </c>
      <c r="C79" s="12" t="s">
        <v>207</v>
      </c>
    </row>
    <row r="80" spans="1:3" ht="16.5">
      <c r="A80" s="10" t="s">
        <v>358</v>
      </c>
      <c r="B80" s="11" t="s">
        <v>359</v>
      </c>
      <c r="C80" s="12" t="s">
        <v>198</v>
      </c>
    </row>
    <row r="81" spans="1:3" ht="16.5">
      <c r="A81" s="10" t="s">
        <v>360</v>
      </c>
      <c r="B81" s="11" t="s">
        <v>361</v>
      </c>
      <c r="C81" s="12" t="s">
        <v>207</v>
      </c>
    </row>
    <row r="82" spans="1:3" ht="16.5">
      <c r="A82" s="10" t="s">
        <v>362</v>
      </c>
      <c r="B82" s="11" t="s">
        <v>189</v>
      </c>
      <c r="C82" s="12" t="s">
        <v>207</v>
      </c>
    </row>
    <row r="83" spans="1:3" ht="16.5">
      <c r="A83" s="10" t="s">
        <v>363</v>
      </c>
      <c r="B83" s="11" t="s">
        <v>364</v>
      </c>
      <c r="C83" s="12" t="s">
        <v>207</v>
      </c>
    </row>
    <row r="84" spans="1:3" ht="16.5">
      <c r="A84" s="10" t="s">
        <v>365</v>
      </c>
      <c r="B84" s="11" t="s">
        <v>366</v>
      </c>
      <c r="C84" s="12" t="s">
        <v>207</v>
      </c>
    </row>
    <row r="85" spans="1:3" ht="16.5">
      <c r="A85" s="10" t="s">
        <v>367</v>
      </c>
      <c r="B85" s="11" t="s">
        <v>368</v>
      </c>
      <c r="C85" s="12" t="s">
        <v>369</v>
      </c>
    </row>
    <row r="86" spans="1:3" ht="16.5">
      <c r="A86" s="10" t="s">
        <v>370</v>
      </c>
      <c r="B86" s="11" t="s">
        <v>371</v>
      </c>
      <c r="C86" s="12" t="s">
        <v>263</v>
      </c>
    </row>
    <row r="87" spans="1:3" ht="16.5">
      <c r="A87" s="10" t="s">
        <v>372</v>
      </c>
      <c r="B87" s="11" t="s">
        <v>373</v>
      </c>
      <c r="C87" s="12" t="s">
        <v>204</v>
      </c>
    </row>
    <row r="88" spans="1:3" ht="16.5">
      <c r="A88" s="10" t="s">
        <v>374</v>
      </c>
      <c r="B88" s="11" t="s">
        <v>375</v>
      </c>
      <c r="C88" s="12" t="s">
        <v>204</v>
      </c>
    </row>
    <row r="89" spans="1:3" ht="16.5">
      <c r="A89" s="10" t="s">
        <v>376</v>
      </c>
      <c r="B89" s="11" t="s">
        <v>377</v>
      </c>
      <c r="C89" s="12" t="s">
        <v>378</v>
      </c>
    </row>
    <row r="90" spans="1:3" ht="16.5">
      <c r="A90" s="10" t="s">
        <v>379</v>
      </c>
      <c r="B90" s="11" t="s">
        <v>380</v>
      </c>
      <c r="C90" s="12" t="s">
        <v>198</v>
      </c>
    </row>
    <row r="91" spans="1:3" ht="16.5">
      <c r="A91" s="10" t="s">
        <v>381</v>
      </c>
      <c r="B91" s="11" t="s">
        <v>382</v>
      </c>
      <c r="C91" s="12" t="s">
        <v>198</v>
      </c>
    </row>
    <row r="92" spans="1:3" ht="16.5">
      <c r="A92" s="10" t="s">
        <v>383</v>
      </c>
      <c r="B92" s="11" t="s">
        <v>384</v>
      </c>
      <c r="C92" s="12" t="s">
        <v>204</v>
      </c>
    </row>
    <row r="93" spans="1:3" ht="16.5">
      <c r="A93" s="10" t="s">
        <v>385</v>
      </c>
      <c r="B93" s="11" t="s">
        <v>386</v>
      </c>
      <c r="C93" s="12" t="s">
        <v>387</v>
      </c>
    </row>
    <row r="94" spans="1:3" ht="16.5">
      <c r="A94" s="10" t="s">
        <v>388</v>
      </c>
      <c r="B94" s="11" t="s">
        <v>389</v>
      </c>
      <c r="C94" s="12" t="s">
        <v>198</v>
      </c>
    </row>
    <row r="95" spans="1:3" ht="16.5">
      <c r="A95" s="10" t="s">
        <v>390</v>
      </c>
      <c r="B95" s="11" t="s">
        <v>391</v>
      </c>
      <c r="C95" s="12" t="s">
        <v>198</v>
      </c>
    </row>
    <row r="96" spans="1:3" ht="16.5">
      <c r="A96" s="10" t="s">
        <v>392</v>
      </c>
      <c r="B96" s="11" t="s">
        <v>393</v>
      </c>
      <c r="C96" s="12" t="s">
        <v>198</v>
      </c>
    </row>
    <row r="97" spans="1:3" ht="16.5">
      <c r="A97" s="10" t="s">
        <v>394</v>
      </c>
      <c r="B97" s="11" t="s">
        <v>395</v>
      </c>
      <c r="C97" s="12" t="s">
        <v>198</v>
      </c>
    </row>
    <row r="98" spans="1:3" ht="16.5">
      <c r="A98" s="10" t="s">
        <v>396</v>
      </c>
      <c r="B98" s="11" t="s">
        <v>397</v>
      </c>
      <c r="C98" s="12" t="s">
        <v>398</v>
      </c>
    </row>
    <row r="99" spans="1:3" ht="16.5">
      <c r="A99" s="10" t="s">
        <v>399</v>
      </c>
      <c r="B99" s="11" t="s">
        <v>400</v>
      </c>
      <c r="C99" s="12" t="s">
        <v>387</v>
      </c>
    </row>
    <row r="100" spans="1:3" ht="16.5">
      <c r="A100" s="10" t="s">
        <v>401</v>
      </c>
      <c r="B100" s="11" t="s">
        <v>402</v>
      </c>
      <c r="C100" s="12" t="s">
        <v>204</v>
      </c>
    </row>
    <row r="101" spans="1:3" ht="16.5">
      <c r="A101" s="10" t="s">
        <v>403</v>
      </c>
      <c r="B101" s="11" t="s">
        <v>404</v>
      </c>
      <c r="C101" s="12" t="s">
        <v>198</v>
      </c>
    </row>
    <row r="102" spans="1:3">
      <c r="A102" s="13"/>
      <c r="B102" s="13"/>
      <c r="C102" s="13"/>
    </row>
    <row r="103" spans="1:3" ht="15">
      <c r="A103" s="13"/>
      <c r="B103" s="13" t="s">
        <v>405</v>
      </c>
      <c r="C103" s="14">
        <v>145</v>
      </c>
    </row>
    <row r="104" spans="1:3" ht="15">
      <c r="A104" s="13"/>
      <c r="B104" s="13" t="s">
        <v>191</v>
      </c>
      <c r="C104" s="14">
        <v>18.125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39B2-067C-48BD-B605-6B0C2B45BAE7}">
  <dimension ref="A1:D22"/>
  <sheetViews>
    <sheetView workbookViewId="0">
      <selection activeCell="I17" sqref="I17"/>
    </sheetView>
  </sheetViews>
  <sheetFormatPr defaultRowHeight="14.25"/>
  <cols>
    <col min="1" max="1" width="9.7109375" style="9" customWidth="1"/>
    <col min="2" max="2" width="34.7109375" style="9" customWidth="1"/>
    <col min="3" max="3" width="21.5703125" style="9" customWidth="1"/>
    <col min="4" max="4" width="16.28515625" style="9" customWidth="1"/>
    <col min="5" max="16384" width="9.140625" style="9"/>
  </cols>
  <sheetData>
    <row r="1" spans="1:4" ht="18">
      <c r="A1" s="15" t="s">
        <v>406</v>
      </c>
      <c r="B1" s="16"/>
      <c r="C1" s="16"/>
      <c r="D1" s="29"/>
    </row>
    <row r="2" spans="1:4" ht="24" customHeight="1">
      <c r="A2" s="18" t="s">
        <v>407</v>
      </c>
      <c r="B2" s="19" t="s">
        <v>408</v>
      </c>
      <c r="C2" s="19" t="s">
        <v>409</v>
      </c>
      <c r="D2" s="19" t="s">
        <v>195</v>
      </c>
    </row>
    <row r="3" spans="1:4">
      <c r="A3" s="20">
        <v>1</v>
      </c>
      <c r="B3" s="21" t="s">
        <v>410</v>
      </c>
      <c r="C3" s="21" t="s">
        <v>411</v>
      </c>
      <c r="D3" s="22">
        <v>0.5</v>
      </c>
    </row>
    <row r="4" spans="1:4" ht="16.5">
      <c r="A4" s="20">
        <v>2</v>
      </c>
      <c r="B4" s="23" t="s">
        <v>412</v>
      </c>
      <c r="C4" s="23" t="s">
        <v>413</v>
      </c>
      <c r="D4" s="22">
        <v>9</v>
      </c>
    </row>
    <row r="5" spans="1:4">
      <c r="A5" s="20">
        <v>3</v>
      </c>
      <c r="B5" s="21" t="s">
        <v>414</v>
      </c>
      <c r="C5" s="21" t="s">
        <v>415</v>
      </c>
      <c r="D5" s="22">
        <v>9</v>
      </c>
    </row>
    <row r="6" spans="1:4">
      <c r="A6" s="20">
        <v>4</v>
      </c>
      <c r="B6" s="21" t="s">
        <v>416</v>
      </c>
      <c r="C6" s="21" t="s">
        <v>417</v>
      </c>
      <c r="D6" s="22">
        <v>4.5</v>
      </c>
    </row>
    <row r="7" spans="1:4">
      <c r="A7" s="20">
        <v>5</v>
      </c>
      <c r="B7" s="21" t="s">
        <v>418</v>
      </c>
      <c r="C7" s="21" t="s">
        <v>419</v>
      </c>
      <c r="D7" s="22">
        <v>4.5</v>
      </c>
    </row>
    <row r="8" spans="1:4" ht="16.5">
      <c r="A8" s="20">
        <v>6</v>
      </c>
      <c r="B8" s="23" t="s">
        <v>420</v>
      </c>
      <c r="C8" s="23" t="s">
        <v>421</v>
      </c>
      <c r="D8" s="22">
        <v>9</v>
      </c>
    </row>
    <row r="9" spans="1:4" ht="16.5">
      <c r="A9" s="20">
        <v>8</v>
      </c>
      <c r="B9" s="23" t="s">
        <v>422</v>
      </c>
      <c r="C9" s="23" t="s">
        <v>423</v>
      </c>
      <c r="D9" s="22">
        <v>12</v>
      </c>
    </row>
    <row r="10" spans="1:4" ht="16.5">
      <c r="A10" s="20">
        <v>7</v>
      </c>
      <c r="B10" s="21" t="s">
        <v>424</v>
      </c>
      <c r="C10" s="23" t="s">
        <v>425</v>
      </c>
      <c r="D10" s="22">
        <v>25</v>
      </c>
    </row>
    <row r="11" spans="1:4" ht="16.5">
      <c r="A11" s="20">
        <v>9</v>
      </c>
      <c r="B11" s="23" t="s">
        <v>426</v>
      </c>
      <c r="C11" s="23" t="s">
        <v>427</v>
      </c>
      <c r="D11" s="22">
        <v>1.5</v>
      </c>
    </row>
    <row r="12" spans="1:4" ht="16.5">
      <c r="A12" s="20">
        <v>10</v>
      </c>
      <c r="B12" s="24" t="s">
        <v>428</v>
      </c>
      <c r="C12" s="23" t="s">
        <v>429</v>
      </c>
      <c r="D12" s="22">
        <v>1.5</v>
      </c>
    </row>
    <row r="13" spans="1:4" ht="16.5">
      <c r="A13" s="20">
        <v>11</v>
      </c>
      <c r="B13" s="24" t="s">
        <v>430</v>
      </c>
      <c r="C13" s="23" t="s">
        <v>431</v>
      </c>
      <c r="D13" s="22">
        <v>2</v>
      </c>
    </row>
    <row r="14" spans="1:4" ht="16.5">
      <c r="A14" s="20">
        <v>12</v>
      </c>
      <c r="B14" s="24" t="s">
        <v>237</v>
      </c>
      <c r="C14" s="23" t="s">
        <v>432</v>
      </c>
      <c r="D14" s="22">
        <v>2</v>
      </c>
    </row>
    <row r="15" spans="1:4" ht="16.5">
      <c r="A15" s="20">
        <v>13</v>
      </c>
      <c r="B15" s="24" t="s">
        <v>433</v>
      </c>
      <c r="C15" s="23" t="s">
        <v>434</v>
      </c>
      <c r="D15" s="22">
        <v>3</v>
      </c>
    </row>
    <row r="16" spans="1:4">
      <c r="A16" s="20">
        <v>14</v>
      </c>
      <c r="B16" s="25" t="s">
        <v>435</v>
      </c>
      <c r="C16" s="21" t="s">
        <v>436</v>
      </c>
      <c r="D16" s="22">
        <v>0.5</v>
      </c>
    </row>
    <row r="17" spans="1:4">
      <c r="A17" s="20">
        <v>15</v>
      </c>
      <c r="B17" s="25" t="s">
        <v>437</v>
      </c>
      <c r="C17" s="21" t="s">
        <v>438</v>
      </c>
      <c r="D17" s="22">
        <v>2</v>
      </c>
    </row>
    <row r="18" spans="1:4">
      <c r="A18" s="20">
        <v>16</v>
      </c>
      <c r="B18" s="25" t="s">
        <v>439</v>
      </c>
      <c r="C18" s="21" t="s">
        <v>440</v>
      </c>
      <c r="D18" s="22">
        <v>0.5</v>
      </c>
    </row>
    <row r="19" spans="1:4">
      <c r="A19" s="26">
        <v>17</v>
      </c>
      <c r="B19" s="25" t="s">
        <v>441</v>
      </c>
      <c r="C19" s="21" t="s">
        <v>442</v>
      </c>
      <c r="D19" s="22">
        <v>0.5</v>
      </c>
    </row>
    <row r="20" spans="1:4">
      <c r="A20" s="13"/>
      <c r="B20" s="13"/>
      <c r="C20" s="13"/>
      <c r="D20" s="13"/>
    </row>
    <row r="21" spans="1:4" ht="15">
      <c r="A21" s="13"/>
      <c r="B21" s="13"/>
      <c r="C21" s="14" t="s">
        <v>405</v>
      </c>
      <c r="D21" s="27">
        <v>86.5</v>
      </c>
    </row>
    <row r="22" spans="1:4" ht="15">
      <c r="A22" s="13"/>
      <c r="B22" s="13"/>
      <c r="C22" s="14" t="s">
        <v>191</v>
      </c>
      <c r="D22" s="28">
        <v>10.1764706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2025-04-03T07:51:46Z</dcterms:created>
  <dcterms:modified xsi:type="dcterms:W3CDTF">2026-04-20T10:36:44Z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add1df-85fd-43fe-8e95-028736053d25_Enabled">
    <vt:lpwstr>true</vt:lpwstr>
  </property>
  <property fmtid="{D5CDD505-2E9C-101B-9397-08002B2CF9AE}" pid="3" name="MSIP_Label_cdadd1df-85fd-43fe-8e95-028736053d25_SetDate">
    <vt:lpwstr>2025-04-03T06:15:25Z</vt:lpwstr>
  </property>
  <property fmtid="{D5CDD505-2E9C-101B-9397-08002B2CF9AE}" pid="4" name="MSIP_Label_cdadd1df-85fd-43fe-8e95-028736053d25_Method">
    <vt:lpwstr>Standard</vt:lpwstr>
  </property>
  <property fmtid="{D5CDD505-2E9C-101B-9397-08002B2CF9AE}" pid="5" name="MSIP_Label_cdadd1df-85fd-43fe-8e95-028736053d25_Name">
    <vt:lpwstr>Internal</vt:lpwstr>
  </property>
  <property fmtid="{D5CDD505-2E9C-101B-9397-08002B2CF9AE}" pid="6" name="MSIP_Label_cdadd1df-85fd-43fe-8e95-028736053d25_SiteId">
    <vt:lpwstr>3f6a3bca-fc86-4232-b7d9-19c8a4d4f762</vt:lpwstr>
  </property>
  <property fmtid="{D5CDD505-2E9C-101B-9397-08002B2CF9AE}" pid="7" name="MSIP_Label_cdadd1df-85fd-43fe-8e95-028736053d25_ActionId">
    <vt:lpwstr>bf19029f-2633-4229-9eae-160126c7aa9c</vt:lpwstr>
  </property>
  <property fmtid="{D5CDD505-2E9C-101B-9397-08002B2CF9AE}" pid="8" name="MSIP_Label_cdadd1df-85fd-43fe-8e95-028736053d25_ContentBits">
    <vt:lpwstr>0</vt:lpwstr>
  </property>
  <property fmtid="{D5CDD505-2E9C-101B-9397-08002B2CF9AE}" pid="9" name="MSIP_Label_cdadd1df-85fd-43fe-8e95-028736053d25_Tag">
    <vt:lpwstr>10, 3, 0, 2</vt:lpwstr>
  </property>
</Properties>
</file>